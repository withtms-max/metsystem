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📘 사용안내" sheetId="1" state="visible" r:id="rId1"/>
    <sheet xmlns:r="http://schemas.openxmlformats.org/officeDocument/2006/relationships" name="① 내추럴마켓리스트" sheetId="2" state="visible" r:id="rId2"/>
    <sheet xmlns:r="http://schemas.openxmlformats.org/officeDocument/2006/relationships" name="② 생명수(월간가망)" sheetId="3" state="visible" r:id="rId3"/>
    <sheet xmlns:r="http://schemas.openxmlformats.org/officeDocument/2006/relationships" name="③ 하루3명 활동표" sheetId="4" state="visible" r:id="rId4"/>
    <sheet xmlns:r="http://schemas.openxmlformats.org/officeDocument/2006/relationships" name="④ 상담섭외지_삼정정" sheetId="5" state="visible" r:id="rId5"/>
    <sheet xmlns:r="http://schemas.openxmlformats.org/officeDocument/2006/relationships" name="④ 상담섭외지_현대정밀" sheetId="6" state="visible" r:id="rId6"/>
    <sheet xmlns:r="http://schemas.openxmlformats.org/officeDocument/2006/relationships" name="④ 상담섭외지_경인계측" sheetId="7" state="visible" r:id="rId7"/>
    <sheet xmlns:r="http://schemas.openxmlformats.org/officeDocument/2006/relationships" name="⑤ 고객정보카드" sheetId="8" state="visible" r:id="rId8"/>
    <sheet xmlns:r="http://schemas.openxmlformats.org/officeDocument/2006/relationships" name="⑥ 운영 사이클" sheetId="9" state="visible" r:id="rId9"/>
  </sheets>
  <definedNames>
    <definedName name="_xlnm._FilterDatabase" localSheetId="1" hidden="1">'① 내추럴마켓리스트'!$A$3:$O$303</definedName>
    <definedName name="_xlnm._FilterDatabase" localSheetId="2" hidden="1">'② 생명수(월간가망)'!$A$4:$P$105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8"/>
    </font>
    <font>
      <name val="Noto Sans CJK SC"/>
      <charset val="129"/>
      <family val="3"/>
      <b val="1"/>
      <color rgb="FF2E4D7B"/>
      <sz val="12"/>
    </font>
    <font>
      <name val="Noto Sans CJK SC"/>
      <charset val="1"/>
      <family val="2"/>
      <b val="1"/>
      <color rgb="FFFFFFFF"/>
      <sz val="11"/>
    </font>
    <font>
      <name val="맑은 고딕"/>
      <charset val="129"/>
      <family val="3"/>
      <b val="1"/>
      <color rgb="FF222222"/>
      <sz val="10"/>
    </font>
    <font>
      <name val="Noto Sans CJK SC"/>
      <charset val="1"/>
      <family val="2"/>
      <color rgb="FF222222"/>
      <sz val="10"/>
    </font>
    <font>
      <name val="Noto Sans CJK SC"/>
      <family val="2"/>
      <b val="1"/>
      <color rgb="FF222222"/>
      <sz val="10"/>
    </font>
    <font>
      <name val="Noto Sans CJK SC"/>
      <charset val="1"/>
      <family val="2"/>
      <b val="1"/>
      <color rgb="FF222222"/>
      <sz val="10"/>
    </font>
    <font>
      <name val="맑은 고딕"/>
      <charset val="129"/>
      <family val="3"/>
      <color rgb="FF222222"/>
      <sz val="10"/>
    </font>
    <font>
      <name val="Noto Sans CJK SC"/>
      <family val="2"/>
      <color rgb="FF222222"/>
      <sz val="10"/>
    </font>
    <font>
      <name val="Noto Sans CJK SC"/>
      <charset val="129"/>
      <family val="3"/>
      <i val="1"/>
      <color rgb="FF666666"/>
      <sz val="9"/>
    </font>
    <font>
      <name val="Noto Sans CJK SC"/>
      <charset val="1"/>
      <family val="2"/>
      <i val="1"/>
      <color rgb="FF666666"/>
      <sz val="9"/>
    </font>
    <font>
      <name val="맑은 고딕"/>
      <charset val="129"/>
      <family val="3"/>
      <b val="1"/>
      <color rgb="FFFFFFFF"/>
      <sz val="11"/>
    </font>
    <font>
      <name val="Noto Sans CJK SC"/>
      <charset val="129"/>
      <family val="3"/>
      <b val="1"/>
      <color rgb="FFFFFFFF"/>
      <sz val="11"/>
    </font>
    <font>
      <name val="Noto Sans CJK SC"/>
      <family val="2"/>
      <b val="1"/>
      <color rgb="FFFFFFFF"/>
      <sz val="11"/>
    </font>
    <font>
      <name val="맑은 고딕"/>
      <charset val="129"/>
      <family val="3"/>
      <b val="1"/>
      <color rgb="FF2E4D7B"/>
      <sz val="11"/>
    </font>
    <font>
      <name val="Noto Sans CJK SC"/>
      <family val="2"/>
      <color theme="1"/>
      <sz val="11"/>
    </font>
    <font>
      <name val="Noto Sans CJK SC"/>
      <charset val="1"/>
      <family val="2"/>
      <b val="1"/>
      <color rgb="FFFFFFFF"/>
      <sz val="20"/>
    </font>
    <font>
      <name val="Noto Sans CJK SC"/>
      <family val="2"/>
      <color rgb="FF222222"/>
      <sz val="12"/>
    </font>
    <font>
      <name val="맑은 고딕"/>
      <charset val="129"/>
      <family val="3"/>
      <color rgb="FF222222"/>
      <sz val="12"/>
    </font>
    <font>
      <name val="Noto Sans CJK SC"/>
      <charset val="1"/>
      <family val="2"/>
      <i val="1"/>
      <color rgb="FF666666"/>
      <sz val="11"/>
    </font>
    <font>
      <name val="맑은 고딕"/>
      <charset val="129"/>
      <family val="3"/>
      <b val="1"/>
      <color rgb="FF2E7D32"/>
      <sz val="12"/>
    </font>
    <font>
      <name val="Noto Sans CJK SC"/>
      <family val="2"/>
      <b val="1"/>
      <color rgb="FF2E7D32"/>
      <sz val="12"/>
    </font>
    <font>
      <name val="Noto Sans CJK SC"/>
      <charset val="1"/>
      <family val="2"/>
      <b val="1"/>
      <color rgb="FF2E7D32"/>
      <sz val="12"/>
    </font>
    <font>
      <name val="맑은 고딕"/>
      <charset val="129"/>
      <family val="3"/>
      <b val="1"/>
      <color rgb="FF2E4D7B"/>
      <sz val="12"/>
    </font>
    <font>
      <name val="Noto Sans CJK SC"/>
      <family val="2"/>
      <b val="1"/>
      <color rgb="FF2E4D7B"/>
      <sz val="12"/>
    </font>
  </fonts>
  <fills count="8">
    <fill>
      <patternFill/>
    </fill>
    <fill>
      <patternFill patternType="gray125"/>
    </fill>
    <fill>
      <patternFill patternType="solid">
        <fgColor rgb="FF2E4D7B"/>
        <bgColor rgb="FF003366"/>
      </patternFill>
    </fill>
    <fill>
      <patternFill patternType="solid">
        <fgColor rgb="FF3F6FB5"/>
        <bgColor rgb="FF5B8DC9"/>
      </patternFill>
    </fill>
    <fill>
      <patternFill patternType="solid">
        <fgColor rgb="FFEAEFF7"/>
        <bgColor rgb="FFF7F9FC"/>
      </patternFill>
    </fill>
    <fill>
      <patternFill patternType="solid">
        <fgColor rgb="FF5B8DC9"/>
        <bgColor rgb="FF3F6FB5"/>
      </patternFill>
    </fill>
    <fill>
      <patternFill patternType="solid">
        <fgColor rgb="FFF7F9FC"/>
        <bgColor rgb="FFFFFFFF"/>
      </patternFill>
    </fill>
    <fill>
      <patternFill patternType="solid">
        <fgColor rgb="FF2E7D32"/>
        <bgColor rgb="FF008000"/>
      </patternFill>
    </fill>
  </fills>
  <borders count="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/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20" fillId="7" borderId="0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0" fillId="0" borderId="6" pivotButton="0" quotePrefix="0" xfId="0"/>
    <xf numFmtId="0" fontId="8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8" fillId="4" borderId="1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8" pivotButton="0" quotePrefix="0" xfId="0"/>
    <xf numFmtId="0" fontId="0" fillId="0" borderId="3" applyAlignment="1" pivotButton="0" quotePrefix="0" xfId="0">
      <alignment horizontal="left" vertical="top" wrapText="1"/>
    </xf>
    <xf numFmtId="0" fontId="20" fillId="7" borderId="0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5B8DC9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FFF9C4"/>
        </patternFill>
      </fill>
    </dxf>
    <dxf>
      <fill>
        <patternFill>
          <bgColor rgb="FFFFCDD2"/>
        </patternFill>
      </fill>
    </dxf>
    <dxf>
      <fill>
        <patternFill>
          <bgColor rgb="FFFFE08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5B8DC9"/>
      <rgbColor rgb="FF9999FF"/>
      <rgbColor rgb="FF993366"/>
      <rgbColor rgb="FFFFF9C4"/>
      <rgbColor rgb="FFEAEFF7"/>
      <rgbColor rgb="FF660066"/>
      <rgbColor rgb="FFFF8080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8E6C9"/>
      <rgbColor rgb="FFFFFF99"/>
      <rgbColor rgb="FF99CCFF"/>
      <rgbColor rgb="FFFF99CC"/>
      <rgbColor rgb="FFCC99FF"/>
      <rgbColor rgb="FFFFE082"/>
      <rgbColor rgb="FF3F6FB5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2E4D7B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71484375" defaultRowHeight="15" zeroHeight="0" outlineLevelRow="0"/>
  <cols>
    <col width="4" customWidth="1" style="41" min="1" max="1"/>
    <col width="30" customWidth="1" style="41" min="2" max="2"/>
    <col width="60" customWidth="1" style="41" min="3" max="3"/>
    <col width="4" customWidth="1" style="41" min="4" max="4"/>
  </cols>
  <sheetData>
    <row r="1" ht="43.5" customHeight="1" s="42">
      <c r="A1" s="43" t="inlineStr">
        <is>
          <t>강남3센터 고객 관리 통합 양식</t>
        </is>
      </c>
    </row>
    <row r="2" ht="7.5" customHeight="1" s="42"/>
    <row r="3" ht="17.25" customHeight="1" s="42">
      <c r="B3" s="44" t="inlineStr">
        <is>
          <t xml:space="preserve"> 「고객 관리」 강의 + 상담 섭외지 통합본</t>
        </is>
      </c>
    </row>
    <row r="5" ht="24" customHeight="1" s="42">
      <c r="B5" s="45" t="inlineStr">
        <is>
          <t>💡 핵심 원칙</t>
        </is>
      </c>
    </row>
    <row r="6" ht="21.75" customHeight="1" s="42">
      <c r="B6" s="46" t="inlineStr">
        <is>
          <t>1. Peoplebusiness</t>
        </is>
      </c>
      <c r="C6" s="47" t="inlineStr">
        <is>
          <t>보험은 사람이 자원. 휴대폰 연락처가 곧 자산.</t>
        </is>
      </c>
    </row>
    <row r="7" ht="21.75" customHeight="1" s="42">
      <c r="B7" s="46" t="inlineStr">
        <is>
          <t>2. 하루 3명</t>
        </is>
      </c>
      <c r="C7" s="47" t="inlineStr">
        <is>
          <t>활동량으로 승부. 매일 3명 미팅 = 모든 컨벤션 달성.</t>
        </is>
      </c>
    </row>
    <row r="8" ht="21.75" customHeight="1" s="42">
      <c r="B8" s="46" t="inlineStr">
        <is>
          <t>3. 데이터화</t>
        </is>
      </c>
      <c r="C8" s="47" t="inlineStr">
        <is>
          <t>엑셀에 정리되지 않으면 영업에 못 씀. 인간은 망각의 동물.</t>
        </is>
      </c>
    </row>
    <row r="9" ht="32.25" customHeight="1" s="42">
      <c r="B9" s="46" t="inlineStr">
        <is>
          <t>4. 1년 차 골든타임</t>
        </is>
      </c>
      <c r="C9" s="47" t="inlineStr">
        <is>
          <t>매월 안부 → 1주년에 소개 요청 ("1년 뒤 찾아오는 설계사 있나요?")</t>
        </is>
      </c>
    </row>
    <row r="10" ht="21.75" customHeight="1" s="42">
      <c r="B10" s="46" t="inlineStr">
        <is>
          <t>5. 동선 영업</t>
        </is>
      </c>
      <c r="C10" s="47" t="inlineStr">
        <is>
          <t>휴대폰 저장 = 이름/거주지/근무지/생년월/등급/소개자. 지역 검색으로 일괄 TA.</t>
        </is>
      </c>
    </row>
    <row r="13" ht="24" customHeight="1" s="42">
      <c r="B13" s="45" t="inlineStr">
        <is>
          <t>📑 시트 구성</t>
        </is>
      </c>
    </row>
    <row r="14" ht="21.75" customHeight="1" s="42">
      <c r="B14" s="48" t="inlineStr">
        <is>
          <t>📘 사용안내</t>
        </is>
      </c>
      <c r="C14" s="47" t="inlineStr">
        <is>
          <t>이 시트. 원칙·시트 구성·운영 사이클 안내</t>
        </is>
      </c>
    </row>
    <row r="15" ht="21.75" customHeight="1" s="42">
      <c r="B15" s="48" t="inlineStr">
        <is>
          <t>① 내추럴마켓리스트</t>
        </is>
      </c>
      <c r="C15" s="47" t="inlineStr">
        <is>
          <t>내 휴대폰 연락처 전체를 데이터화. A/B/C 등급 분류. 매주 일요일 업데이트</t>
        </is>
      </c>
    </row>
    <row r="16" ht="21.75" customHeight="1" s="42">
      <c r="B16" s="48" t="inlineStr">
        <is>
          <t>② 생명수(월간가망)</t>
        </is>
      </c>
      <c r="C16" s="47" t="inlineStr">
        <is>
          <t>이번 달 만날 사람 작전 표. 매월 마지막 이틀 정리 → 3장 출력</t>
        </is>
      </c>
    </row>
    <row r="17" ht="21.75" customHeight="1" s="42">
      <c r="B17" s="48" t="inlineStr">
        <is>
          <t>③ 하루3명 활동표</t>
        </is>
      </c>
      <c r="C17" s="47" t="inlineStr">
        <is>
          <t>매일 TA/미팅 수 추적. 한 주 3명×6일 = 18명 목표</t>
        </is>
      </c>
    </row>
    <row r="18" ht="21.75" customHeight="1" s="42">
      <c r="B18" s="48" t="inlineStr">
        <is>
          <t>④ 상담섭외지</t>
        </is>
      </c>
      <c r="C18" s="49" t="inlineStr">
        <is>
          <t>B2B 영업 섭외 양식 (위너스·기업 컨설팅용)</t>
        </is>
      </c>
    </row>
    <row r="19" ht="21.75" customHeight="1" s="42">
      <c r="B19" s="48" t="inlineStr">
        <is>
          <t>⑤ 고객정보카드</t>
        </is>
      </c>
      <c r="C19" s="47" t="inlineStr">
        <is>
          <t>기업 고객 1건 1장 정보 카드 (조회·전달용)</t>
        </is>
      </c>
    </row>
    <row r="20" ht="21.75" customHeight="1" s="42">
      <c r="B20" s="48" t="inlineStr">
        <is>
          <t>⑥ 운영 사이클</t>
        </is>
      </c>
      <c r="C20" s="47" t="inlineStr">
        <is>
          <t>월간/주간/일간 루틴 한 장 요약</t>
        </is>
      </c>
    </row>
    <row r="23" ht="15" customHeight="1" s="42">
      <c r="B23" s="50" t="inlineStr">
        <is>
          <t xml:space="preserve">강남3센터 · </t>
        </is>
      </c>
    </row>
  </sheetData>
  <mergeCells count="5">
    <mergeCell ref="B13:C13"/>
    <mergeCell ref="A1:D1"/>
    <mergeCell ref="B3:C3"/>
    <mergeCell ref="B5:C5"/>
    <mergeCell ref="B23:C23"/>
  </mergeCell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O3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18" activePane="bottomLeft" state="frozen"/>
      <selection pane="topLeft" activeCell="A1" activeCellId="0" sqref="A1"/>
      <selection pane="bottomLeft" activeCell="O3" activeCellId="0" sqref="O3"/>
    </sheetView>
  </sheetViews>
  <sheetFormatPr baseColWidth="8" defaultColWidth="8.71484375" defaultRowHeight="15" zeroHeight="0" outlineLevelRow="0"/>
  <cols>
    <col width="5" customWidth="1" style="41" min="1" max="1"/>
    <col width="10" customWidth="1" style="41" min="2" max="2"/>
    <col width="14" customWidth="1" style="41" min="3" max="3"/>
    <col width="12" customWidth="1" style="41" min="4" max="4"/>
    <col width="8" customWidth="1" style="41" min="5" max="5"/>
    <col width="12" customWidth="1" style="41" min="6" max="6"/>
    <col width="18" customWidth="1" style="41" min="7" max="7"/>
    <col width="16" customWidth="1" style="41" min="8" max="9"/>
    <col width="10" customWidth="1" style="41" min="10" max="10"/>
    <col width="10.57" customWidth="1" style="41" min="11" max="11"/>
    <col width="12.71" customWidth="1" style="41" min="12" max="12"/>
    <col width="15.57" customWidth="1" style="41" min="13" max="13"/>
    <col width="23.42" customWidth="1" style="41" min="14" max="14"/>
    <col width="29.42" customWidth="1" style="41" min="15" max="15"/>
  </cols>
  <sheetData>
    <row r="1" ht="36" customHeight="1" s="42">
      <c r="A1" s="43" t="inlineStr">
        <is>
          <t>내추럴 마켓 리스트 (Natural Market List)</t>
        </is>
      </c>
    </row>
    <row r="2" ht="21.75" customHeight="1" s="42">
      <c r="A2" s="51" t="inlineStr">
        <is>
          <t>📌 휴대폰 연락처 전체를 데이터화 · A급(가까움)/B급(아는 정도)/C급(누구세요?) · C급은 과감히 삭제</t>
        </is>
      </c>
    </row>
    <row r="3" ht="30" customHeight="1" s="42">
      <c r="A3" s="52" t="inlineStr">
        <is>
          <t>No.</t>
        </is>
      </c>
      <c r="B3" s="53" t="inlineStr">
        <is>
          <t>이름</t>
        </is>
      </c>
      <c r="C3" s="53" t="inlineStr">
        <is>
          <t>연락처</t>
        </is>
      </c>
      <c r="D3" s="53" t="inlineStr">
        <is>
          <t>관계</t>
        </is>
      </c>
      <c r="E3" s="53" t="inlineStr">
        <is>
          <t>연령(만)</t>
        </is>
      </c>
      <c r="F3" s="53" t="inlineStr">
        <is>
          <t>직업</t>
        </is>
      </c>
      <c r="G3" s="53" t="inlineStr">
        <is>
          <t>회사명</t>
        </is>
      </c>
      <c r="H3" s="53" t="inlineStr">
        <is>
          <t>회사 위치(시/구)</t>
        </is>
      </c>
      <c r="I3" s="53" t="inlineStr">
        <is>
          <t>거주지(시/구)</t>
        </is>
      </c>
      <c r="J3" s="53" t="inlineStr">
        <is>
          <t>생년월</t>
        </is>
      </c>
      <c r="K3" s="53" t="inlineStr">
        <is>
          <t>등급</t>
        </is>
      </c>
      <c r="L3" s="53" t="inlineStr">
        <is>
          <t>소개자</t>
        </is>
      </c>
      <c r="M3" s="53" t="inlineStr">
        <is>
          <t>최근 연락일</t>
        </is>
      </c>
      <c r="N3" s="54" t="inlineStr">
        <is>
          <t>다음 액션</t>
        </is>
      </c>
      <c r="O3" s="53" t="inlineStr">
        <is>
          <t>비고</t>
        </is>
      </c>
    </row>
    <row r="4" ht="23.85" customHeight="1" s="42">
      <c r="A4" s="55" t="n">
        <v>1</v>
      </c>
      <c r="B4" s="56" t="inlineStr">
        <is>
          <t>김매트</t>
        </is>
      </c>
      <c r="C4" s="55" t="inlineStr">
        <is>
          <t>010-1234-5678</t>
        </is>
      </c>
      <c r="D4" s="56" t="inlineStr">
        <is>
          <t>회사동기</t>
        </is>
      </c>
      <c r="E4" s="56" t="n">
        <v>39</v>
      </c>
      <c r="F4" s="56" t="inlineStr">
        <is>
          <t>차장</t>
        </is>
      </c>
      <c r="G4" s="56" t="inlineStr">
        <is>
          <t>삼성전자</t>
        </is>
      </c>
      <c r="H4" s="56" t="inlineStr">
        <is>
          <t>수원 영통구</t>
        </is>
      </c>
      <c r="I4" s="56" t="inlineStr">
        <is>
          <t>서울 송파구</t>
        </is>
      </c>
      <c r="J4" s="55" t="inlineStr">
        <is>
          <t>1986-05</t>
        </is>
      </c>
      <c r="K4" s="55" t="inlineStr">
        <is>
          <t>A</t>
        </is>
      </c>
      <c r="L4" s="56" t="n"/>
      <c r="M4" s="55" t="inlineStr">
        <is>
          <t>2026-05-01</t>
        </is>
      </c>
      <c r="N4" s="49" t="inlineStr">
        <is>
          <t>5월 둘째주 점심</t>
        </is>
      </c>
      <c r="O4" s="47" t="inlineStr">
        <is>
          <t>재무관심</t>
        </is>
      </c>
    </row>
    <row r="5" ht="23.85" customHeight="1" s="42">
      <c r="A5" s="56" t="n">
        <v>2</v>
      </c>
      <c r="B5" s="56" t="inlineStr">
        <is>
          <t>박지인</t>
        </is>
      </c>
      <c r="C5" s="55" t="inlineStr">
        <is>
          <t>010-2222-3333</t>
        </is>
      </c>
      <c r="D5" s="56" t="inlineStr">
        <is>
          <t>초등동창</t>
        </is>
      </c>
      <c r="E5" s="56" t="n">
        <v>40</v>
      </c>
      <c r="F5" s="56" t="inlineStr">
        <is>
          <t>사업자</t>
        </is>
      </c>
      <c r="G5" s="56" t="inlineStr">
        <is>
          <t>지인상사</t>
        </is>
      </c>
      <c r="H5" s="56" t="inlineStr">
        <is>
          <t>판교</t>
        </is>
      </c>
      <c r="I5" s="56" t="inlineStr">
        <is>
          <t>성남 분당</t>
        </is>
      </c>
      <c r="J5" s="55" t="inlineStr">
        <is>
          <t>1985-09</t>
        </is>
      </c>
      <c r="K5" s="55" t="inlineStr">
        <is>
          <t>A</t>
        </is>
      </c>
      <c r="L5" s="56" t="inlineStr">
        <is>
          <t>최본부장</t>
        </is>
      </c>
      <c r="M5" s="55" t="inlineStr">
        <is>
          <t>2026-04-22</t>
        </is>
      </c>
      <c r="N5" s="47" t="inlineStr">
        <is>
          <t>연금 RP 준비</t>
        </is>
      </c>
      <c r="O5" s="49" t="inlineStr">
        <is>
          <t>1년차 소개 받기</t>
        </is>
      </c>
    </row>
    <row r="6" ht="23.85" customHeight="1" s="42">
      <c r="A6" s="56" t="n">
        <v>3</v>
      </c>
      <c r="B6" s="56" t="inlineStr">
        <is>
          <t>이아무</t>
        </is>
      </c>
      <c r="C6" s="55" t="inlineStr">
        <is>
          <t>010-7777-8888</t>
        </is>
      </c>
      <c r="D6" s="56" t="inlineStr">
        <is>
          <t>지인소개</t>
        </is>
      </c>
      <c r="E6" s="56" t="n">
        <v>35</v>
      </c>
      <c r="F6" s="56" t="inlineStr">
        <is>
          <t>임원</t>
        </is>
      </c>
      <c r="G6" s="56" t="inlineStr">
        <is>
          <t>윤서컴퍼니</t>
        </is>
      </c>
      <c r="H6" s="56" t="inlineStr">
        <is>
          <t>서울 강동</t>
        </is>
      </c>
      <c r="I6" s="56" t="inlineStr">
        <is>
          <t>서울 강동</t>
        </is>
      </c>
      <c r="J6" s="55" t="inlineStr">
        <is>
          <t>1990-03</t>
        </is>
      </c>
      <c r="K6" s="55" t="inlineStr">
        <is>
          <t>B</t>
        </is>
      </c>
      <c r="L6" s="56" t="inlineStr">
        <is>
          <t>김매트</t>
        </is>
      </c>
      <c r="M6" s="56" t="n"/>
      <c r="N6" s="47" t="inlineStr">
        <is>
          <t>안부 문자</t>
        </is>
      </c>
      <c r="O6" s="47" t="n"/>
    </row>
    <row r="7" ht="15" customHeight="1" s="42">
      <c r="A7" s="56" t="n">
        <v>4</v>
      </c>
      <c r="B7" s="56" t="n"/>
      <c r="C7" s="56" t="n"/>
      <c r="D7" s="56" t="n"/>
      <c r="E7" s="56" t="n"/>
      <c r="F7" s="56" t="n"/>
      <c r="G7" s="56" t="n"/>
      <c r="H7" s="56" t="n"/>
      <c r="I7" s="56" t="n"/>
      <c r="J7" s="56" t="n"/>
      <c r="K7" s="55" t="n"/>
      <c r="L7" s="56" t="n"/>
      <c r="M7" s="56" t="n"/>
      <c r="N7" s="47" t="n"/>
      <c r="O7" s="47" t="n"/>
    </row>
    <row r="8" ht="15" customHeight="1" s="42">
      <c r="A8" s="57" t="n">
        <v>5</v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8" t="n"/>
      <c r="O8" s="58" t="n"/>
    </row>
    <row r="9" ht="15" customHeight="1" s="42">
      <c r="A9" s="56" t="n">
        <v>6</v>
      </c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5" t="n"/>
      <c r="L9" s="56" t="n"/>
      <c r="M9" s="56" t="n"/>
      <c r="N9" s="47" t="n"/>
      <c r="O9" s="47" t="n"/>
    </row>
    <row r="10" ht="15" customHeight="1" s="42">
      <c r="A10" s="57" t="n">
        <v>7</v>
      </c>
      <c r="B10" s="57" t="n"/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8" t="n"/>
      <c r="O10" s="58" t="n"/>
    </row>
    <row r="11" ht="15" customHeight="1" s="42">
      <c r="A11" s="56" t="n">
        <v>8</v>
      </c>
      <c r="B11" s="56" t="n"/>
      <c r="C11" s="56" t="n"/>
      <c r="D11" s="56" t="n"/>
      <c r="E11" s="56" t="n"/>
      <c r="F11" s="56" t="n"/>
      <c r="G11" s="56" t="n"/>
      <c r="H11" s="56" t="n"/>
      <c r="I11" s="56" t="n"/>
      <c r="J11" s="56" t="n"/>
      <c r="K11" s="55" t="n"/>
      <c r="L11" s="56" t="n"/>
      <c r="M11" s="56" t="n"/>
      <c r="N11" s="47" t="n"/>
      <c r="O11" s="47" t="n"/>
    </row>
    <row r="12" ht="15" customHeight="1" s="42">
      <c r="A12" s="57" t="n">
        <v>9</v>
      </c>
      <c r="B12" s="57" t="n"/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8" t="n"/>
      <c r="O12" s="58" t="n"/>
    </row>
    <row r="13" ht="15" customHeight="1" s="42">
      <c r="A13" s="56" t="n">
        <v>10</v>
      </c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5" t="n"/>
      <c r="L13" s="56" t="n"/>
      <c r="M13" s="56" t="n"/>
      <c r="N13" s="47" t="n"/>
      <c r="O13" s="47" t="n"/>
    </row>
    <row r="14" ht="15" customHeight="1" s="42">
      <c r="A14" s="57" t="n">
        <v>11</v>
      </c>
      <c r="B14" s="57" t="n"/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8" t="n"/>
      <c r="O14" s="58" t="n"/>
    </row>
    <row r="15" ht="15" customHeight="1" s="42">
      <c r="A15" s="56" t="n">
        <v>12</v>
      </c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5" t="n"/>
      <c r="L15" s="56" t="n"/>
      <c r="M15" s="56" t="n"/>
      <c r="N15" s="47" t="n"/>
      <c r="O15" s="47" t="n"/>
    </row>
    <row r="16" ht="15" customHeight="1" s="42">
      <c r="A16" s="57" t="n">
        <v>13</v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8" t="n"/>
      <c r="O16" s="58" t="n"/>
    </row>
    <row r="17" ht="15" customHeight="1" s="42">
      <c r="A17" s="56" t="n">
        <v>14</v>
      </c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5" t="n"/>
      <c r="L17" s="56" t="n"/>
      <c r="M17" s="56" t="n"/>
      <c r="N17" s="47" t="n"/>
      <c r="O17" s="47" t="n"/>
    </row>
    <row r="18" ht="15" customHeight="1" s="42">
      <c r="A18" s="57" t="n">
        <v>15</v>
      </c>
      <c r="B18" s="57" t="n"/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8" t="n"/>
      <c r="O18" s="58" t="n"/>
    </row>
    <row r="19" ht="15" customHeight="1" s="42">
      <c r="A19" s="56" t="n">
        <v>16</v>
      </c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5" t="n"/>
      <c r="L19" s="56" t="n"/>
      <c r="M19" s="56" t="n"/>
      <c r="N19" s="47" t="n"/>
      <c r="O19" s="47" t="n"/>
    </row>
    <row r="20" ht="15" customHeight="1" s="42">
      <c r="A20" s="57" t="n">
        <v>17</v>
      </c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8" t="n"/>
      <c r="O20" s="58" t="n"/>
    </row>
    <row r="21" ht="15" customHeight="1" s="42">
      <c r="A21" s="56" t="n">
        <v>18</v>
      </c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5" t="n"/>
      <c r="L21" s="56" t="n"/>
      <c r="M21" s="56" t="n"/>
      <c r="N21" s="47" t="n"/>
      <c r="O21" s="47" t="n"/>
    </row>
    <row r="22" ht="15" customHeight="1" s="42">
      <c r="A22" s="57" t="n">
        <v>19</v>
      </c>
      <c r="B22" s="57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8" t="n"/>
      <c r="O22" s="58" t="n"/>
    </row>
    <row r="23" ht="15" customHeight="1" s="42">
      <c r="A23" s="56" t="n">
        <v>20</v>
      </c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5" t="n"/>
      <c r="L23" s="56" t="n"/>
      <c r="M23" s="56" t="n"/>
      <c r="N23" s="47" t="n"/>
      <c r="O23" s="47" t="n"/>
    </row>
    <row r="24" ht="15" customHeight="1" s="42">
      <c r="A24" s="57" t="n">
        <v>21</v>
      </c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8" t="n"/>
      <c r="O24" s="58" t="n"/>
    </row>
    <row r="25" ht="15" customHeight="1" s="42">
      <c r="A25" s="56" t="n">
        <v>22</v>
      </c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5" t="n"/>
      <c r="L25" s="56" t="n"/>
      <c r="M25" s="56" t="n"/>
      <c r="N25" s="47" t="n"/>
      <c r="O25" s="47" t="n"/>
    </row>
    <row r="26" ht="15" customHeight="1" s="42">
      <c r="A26" s="57" t="n">
        <v>23</v>
      </c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8" t="n"/>
      <c r="O26" s="58" t="n"/>
    </row>
    <row r="27" ht="15" customHeight="1" s="42">
      <c r="A27" s="56" t="n">
        <v>24</v>
      </c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5" t="n"/>
      <c r="L27" s="56" t="n"/>
      <c r="M27" s="56" t="n"/>
      <c r="N27" s="47" t="n"/>
      <c r="O27" s="47" t="n"/>
    </row>
    <row r="28" ht="15" customHeight="1" s="42">
      <c r="A28" s="57" t="n">
        <v>25</v>
      </c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8" t="n"/>
      <c r="O28" s="58" t="n"/>
    </row>
    <row r="29" ht="15" customHeight="1" s="42">
      <c r="A29" s="56" t="n">
        <v>26</v>
      </c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5" t="n"/>
      <c r="L29" s="56" t="n"/>
      <c r="M29" s="56" t="n"/>
      <c r="N29" s="47" t="n"/>
      <c r="O29" s="47" t="n"/>
    </row>
    <row r="30" ht="15" customHeight="1" s="42">
      <c r="A30" s="57" t="n">
        <v>27</v>
      </c>
      <c r="B30" s="57" t="n"/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8" t="n"/>
      <c r="O30" s="58" t="n"/>
    </row>
    <row r="31" ht="15" customHeight="1" s="42">
      <c r="A31" s="56" t="n">
        <v>28</v>
      </c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5" t="n"/>
      <c r="L31" s="56" t="n"/>
      <c r="M31" s="56" t="n"/>
      <c r="N31" s="47" t="n"/>
      <c r="O31" s="47" t="n"/>
    </row>
    <row r="32" ht="15" customHeight="1" s="42">
      <c r="A32" s="57" t="n">
        <v>29</v>
      </c>
      <c r="B32" s="57" t="n"/>
      <c r="C32" s="57" t="n"/>
      <c r="D32" s="57" t="n"/>
      <c r="E32" s="57" t="n"/>
      <c r="F32" s="57" t="n"/>
      <c r="G32" s="57" t="n"/>
      <c r="H32" s="57" t="n"/>
      <c r="I32" s="57" t="n"/>
      <c r="J32" s="57" t="n"/>
      <c r="K32" s="57" t="n"/>
      <c r="L32" s="57" t="n"/>
      <c r="M32" s="57" t="n"/>
      <c r="N32" s="58" t="n"/>
      <c r="O32" s="58" t="n"/>
    </row>
    <row r="33" ht="15" customHeight="1" s="42">
      <c r="A33" s="56" t="n">
        <v>30</v>
      </c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5" t="n"/>
      <c r="L33" s="56" t="n"/>
      <c r="M33" s="56" t="n"/>
      <c r="N33" s="47" t="n"/>
      <c r="O33" s="47" t="n"/>
    </row>
    <row r="34" ht="15" customHeight="1" s="42">
      <c r="A34" s="57" t="n">
        <v>31</v>
      </c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8" t="n"/>
      <c r="O34" s="58" t="n"/>
    </row>
    <row r="35" ht="15" customHeight="1" s="42">
      <c r="A35" s="56" t="n">
        <v>32</v>
      </c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5" t="n"/>
      <c r="L35" s="56" t="n"/>
      <c r="M35" s="56" t="n"/>
      <c r="N35" s="47" t="n"/>
      <c r="O35" s="47" t="n"/>
    </row>
    <row r="36" ht="15" customHeight="1" s="42">
      <c r="A36" s="57" t="n">
        <v>33</v>
      </c>
      <c r="B36" s="57" t="n"/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  <c r="L36" s="57" t="n"/>
      <c r="M36" s="57" t="n"/>
      <c r="N36" s="58" t="n"/>
      <c r="O36" s="58" t="n"/>
    </row>
    <row r="37" ht="15" customHeight="1" s="42">
      <c r="A37" s="56" t="n">
        <v>34</v>
      </c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5" t="n"/>
      <c r="L37" s="56" t="n"/>
      <c r="M37" s="56" t="n"/>
      <c r="N37" s="47" t="n"/>
      <c r="O37" s="47" t="n"/>
    </row>
    <row r="38" ht="15" customHeight="1" s="42">
      <c r="A38" s="57" t="n">
        <v>35</v>
      </c>
      <c r="B38" s="57" t="n"/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8" t="n"/>
      <c r="O38" s="58" t="n"/>
    </row>
    <row r="39" ht="15" customHeight="1" s="42">
      <c r="A39" s="56" t="n">
        <v>36</v>
      </c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5" t="n"/>
      <c r="L39" s="56" t="n"/>
      <c r="M39" s="56" t="n"/>
      <c r="N39" s="47" t="n"/>
      <c r="O39" s="47" t="n"/>
    </row>
    <row r="40" ht="15" customHeight="1" s="42">
      <c r="A40" s="57" t="n">
        <v>37</v>
      </c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8" t="n"/>
      <c r="O40" s="58" t="n"/>
    </row>
    <row r="41" ht="15" customHeight="1" s="42">
      <c r="A41" s="56" t="n">
        <v>38</v>
      </c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5" t="n"/>
      <c r="L41" s="56" t="n"/>
      <c r="M41" s="56" t="n"/>
      <c r="N41" s="47" t="n"/>
      <c r="O41" s="47" t="n"/>
    </row>
    <row r="42" ht="15" customHeight="1" s="42">
      <c r="A42" s="57" t="n">
        <v>39</v>
      </c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8" t="n"/>
      <c r="O42" s="58" t="n"/>
    </row>
    <row r="43" ht="15" customHeight="1" s="42">
      <c r="A43" s="56" t="n">
        <v>40</v>
      </c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5" t="n"/>
      <c r="L43" s="56" t="n"/>
      <c r="M43" s="56" t="n"/>
      <c r="N43" s="47" t="n"/>
      <c r="O43" s="47" t="n"/>
    </row>
    <row r="44" ht="15" customHeight="1" s="42">
      <c r="A44" s="57" t="n">
        <v>41</v>
      </c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8" t="n"/>
      <c r="O44" s="58" t="n"/>
    </row>
    <row r="45" ht="15" customHeight="1" s="42">
      <c r="A45" s="56" t="n">
        <v>42</v>
      </c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5" t="n"/>
      <c r="L45" s="56" t="n"/>
      <c r="M45" s="56" t="n"/>
      <c r="N45" s="47" t="n"/>
      <c r="O45" s="47" t="n"/>
    </row>
    <row r="46" ht="15" customHeight="1" s="42">
      <c r="A46" s="57" t="n">
        <v>43</v>
      </c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8" t="n"/>
      <c r="O46" s="58" t="n"/>
    </row>
    <row r="47" ht="15" customHeight="1" s="42">
      <c r="A47" s="56" t="n">
        <v>44</v>
      </c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5" t="n"/>
      <c r="L47" s="56" t="n"/>
      <c r="M47" s="56" t="n"/>
      <c r="N47" s="47" t="n"/>
      <c r="O47" s="47" t="n"/>
    </row>
    <row r="48" ht="15" customHeight="1" s="42">
      <c r="A48" s="57" t="n">
        <v>45</v>
      </c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8" t="n"/>
      <c r="O48" s="58" t="n"/>
    </row>
    <row r="49" ht="15" customHeight="1" s="42">
      <c r="A49" s="56" t="n">
        <v>46</v>
      </c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5" t="n"/>
      <c r="L49" s="56" t="n"/>
      <c r="M49" s="56" t="n"/>
      <c r="N49" s="47" t="n"/>
      <c r="O49" s="47" t="n"/>
    </row>
    <row r="50" ht="15" customHeight="1" s="42">
      <c r="A50" s="57" t="n">
        <v>47</v>
      </c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8" t="n"/>
      <c r="O50" s="58" t="n"/>
    </row>
    <row r="51" ht="15" customHeight="1" s="42">
      <c r="A51" s="56" t="n">
        <v>48</v>
      </c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5" t="n"/>
      <c r="L51" s="56" t="n"/>
      <c r="M51" s="56" t="n"/>
      <c r="N51" s="47" t="n"/>
      <c r="O51" s="47" t="n"/>
    </row>
    <row r="52" ht="15" customHeight="1" s="42">
      <c r="A52" s="57" t="n">
        <v>49</v>
      </c>
      <c r="B52" s="57" t="n"/>
      <c r="C52" s="57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8" t="n"/>
      <c r="O52" s="58" t="n"/>
    </row>
    <row r="53" ht="15" customHeight="1" s="42">
      <c r="A53" s="56" t="n">
        <v>50</v>
      </c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5" t="n"/>
      <c r="L53" s="56" t="n"/>
      <c r="M53" s="56" t="n"/>
      <c r="N53" s="47" t="n"/>
      <c r="O53" s="47" t="n"/>
    </row>
    <row r="54" ht="15" customHeight="1" s="42">
      <c r="A54" s="57" t="n">
        <v>51</v>
      </c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8" t="n"/>
      <c r="O54" s="58" t="n"/>
    </row>
    <row r="55" ht="15" customHeight="1" s="42">
      <c r="A55" s="56" t="n">
        <v>52</v>
      </c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5" t="n"/>
      <c r="L55" s="56" t="n"/>
      <c r="M55" s="56" t="n"/>
      <c r="N55" s="47" t="n"/>
      <c r="O55" s="47" t="n"/>
    </row>
    <row r="56" ht="15" customHeight="1" s="42">
      <c r="A56" s="57" t="n">
        <v>53</v>
      </c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8" t="n"/>
      <c r="O56" s="58" t="n"/>
    </row>
    <row r="57" ht="15" customHeight="1" s="42">
      <c r="A57" s="56" t="n">
        <v>54</v>
      </c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5" t="n"/>
      <c r="L57" s="56" t="n"/>
      <c r="M57" s="56" t="n"/>
      <c r="N57" s="47" t="n"/>
      <c r="O57" s="47" t="n"/>
    </row>
    <row r="58" ht="15" customHeight="1" s="42">
      <c r="A58" s="57" t="n">
        <v>55</v>
      </c>
      <c r="B58" s="57" t="n"/>
      <c r="C58" s="57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8" t="n"/>
      <c r="O58" s="58" t="n"/>
    </row>
    <row r="59" ht="15" customHeight="1" s="42">
      <c r="A59" s="56" t="n">
        <v>56</v>
      </c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5" t="n"/>
      <c r="L59" s="56" t="n"/>
      <c r="M59" s="56" t="n"/>
      <c r="N59" s="47" t="n"/>
      <c r="O59" s="47" t="n"/>
    </row>
    <row r="60" ht="15" customHeight="1" s="42">
      <c r="A60" s="57" t="n">
        <v>57</v>
      </c>
      <c r="B60" s="57" t="n"/>
      <c r="C60" s="57" t="n"/>
      <c r="D60" s="57" t="n"/>
      <c r="E60" s="57" t="n"/>
      <c r="F60" s="57" t="n"/>
      <c r="G60" s="57" t="n"/>
      <c r="H60" s="57" t="n"/>
      <c r="I60" s="57" t="n"/>
      <c r="J60" s="57" t="n"/>
      <c r="K60" s="57" t="n"/>
      <c r="L60" s="57" t="n"/>
      <c r="M60" s="57" t="n"/>
      <c r="N60" s="58" t="n"/>
      <c r="O60" s="58" t="n"/>
    </row>
    <row r="61" ht="15" customHeight="1" s="42">
      <c r="A61" s="56" t="n">
        <v>58</v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5" t="n"/>
      <c r="L61" s="56" t="n"/>
      <c r="M61" s="56" t="n"/>
      <c r="N61" s="47" t="n"/>
      <c r="O61" s="47" t="n"/>
    </row>
    <row r="62" ht="15" customHeight="1" s="42">
      <c r="A62" s="57" t="n">
        <v>59</v>
      </c>
      <c r="B62" s="57" t="n"/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8" t="n"/>
      <c r="O62" s="58" t="n"/>
    </row>
    <row r="63" ht="15" customHeight="1" s="42">
      <c r="A63" s="56" t="n">
        <v>60</v>
      </c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5" t="n"/>
      <c r="L63" s="56" t="n"/>
      <c r="M63" s="56" t="n"/>
      <c r="N63" s="47" t="n"/>
      <c r="O63" s="47" t="n"/>
    </row>
    <row r="64" ht="15" customHeight="1" s="42">
      <c r="A64" s="57" t="n">
        <v>61</v>
      </c>
      <c r="B64" s="57" t="n"/>
      <c r="C64" s="57" t="n"/>
      <c r="D64" s="57" t="n"/>
      <c r="E64" s="57" t="n"/>
      <c r="F64" s="57" t="n"/>
      <c r="G64" s="57" t="n"/>
      <c r="H64" s="57" t="n"/>
      <c r="I64" s="57" t="n"/>
      <c r="J64" s="57" t="n"/>
      <c r="K64" s="57" t="n"/>
      <c r="L64" s="57" t="n"/>
      <c r="M64" s="57" t="n"/>
      <c r="N64" s="58" t="n"/>
      <c r="O64" s="58" t="n"/>
    </row>
    <row r="65" ht="15" customHeight="1" s="42">
      <c r="A65" s="56" t="n">
        <v>62</v>
      </c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5" t="n"/>
      <c r="L65" s="56" t="n"/>
      <c r="M65" s="56" t="n"/>
      <c r="N65" s="47" t="n"/>
      <c r="O65" s="47" t="n"/>
    </row>
    <row r="66" ht="15" customHeight="1" s="42">
      <c r="A66" s="57" t="n">
        <v>63</v>
      </c>
      <c r="B66" s="57" t="n"/>
      <c r="C66" s="57" t="n"/>
      <c r="D66" s="57" t="n"/>
      <c r="E66" s="57" t="n"/>
      <c r="F66" s="57" t="n"/>
      <c r="G66" s="57" t="n"/>
      <c r="H66" s="57" t="n"/>
      <c r="I66" s="57" t="n"/>
      <c r="J66" s="57" t="n"/>
      <c r="K66" s="57" t="n"/>
      <c r="L66" s="57" t="n"/>
      <c r="M66" s="57" t="n"/>
      <c r="N66" s="58" t="n"/>
      <c r="O66" s="58" t="n"/>
    </row>
    <row r="67" ht="15" customHeight="1" s="42">
      <c r="A67" s="56" t="n">
        <v>64</v>
      </c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5" t="n"/>
      <c r="L67" s="56" t="n"/>
      <c r="M67" s="56" t="n"/>
      <c r="N67" s="47" t="n"/>
      <c r="O67" s="47" t="n"/>
    </row>
    <row r="68" ht="15" customHeight="1" s="42">
      <c r="A68" s="57" t="n">
        <v>65</v>
      </c>
      <c r="B68" s="57" t="n"/>
      <c r="C68" s="57" t="n"/>
      <c r="D68" s="57" t="n"/>
      <c r="E68" s="57" t="n"/>
      <c r="F68" s="57" t="n"/>
      <c r="G68" s="57" t="n"/>
      <c r="H68" s="57" t="n"/>
      <c r="I68" s="57" t="n"/>
      <c r="J68" s="57" t="n"/>
      <c r="K68" s="57" t="n"/>
      <c r="L68" s="57" t="n"/>
      <c r="M68" s="57" t="n"/>
      <c r="N68" s="58" t="n"/>
      <c r="O68" s="58" t="n"/>
    </row>
    <row r="69" ht="15" customHeight="1" s="42">
      <c r="A69" s="56" t="n">
        <v>66</v>
      </c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5" t="n"/>
      <c r="L69" s="56" t="n"/>
      <c r="M69" s="56" t="n"/>
      <c r="N69" s="47" t="n"/>
      <c r="O69" s="47" t="n"/>
    </row>
    <row r="70" ht="15" customHeight="1" s="42">
      <c r="A70" s="57" t="n">
        <v>67</v>
      </c>
      <c r="B70" s="57" t="n"/>
      <c r="C70" s="57" t="n"/>
      <c r="D70" s="57" t="n"/>
      <c r="E70" s="57" t="n"/>
      <c r="F70" s="57" t="n"/>
      <c r="G70" s="57" t="n"/>
      <c r="H70" s="57" t="n"/>
      <c r="I70" s="57" t="n"/>
      <c r="J70" s="57" t="n"/>
      <c r="K70" s="57" t="n"/>
      <c r="L70" s="57" t="n"/>
      <c r="M70" s="57" t="n"/>
      <c r="N70" s="58" t="n"/>
      <c r="O70" s="58" t="n"/>
    </row>
    <row r="71" ht="15" customHeight="1" s="42">
      <c r="A71" s="56" t="n">
        <v>68</v>
      </c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5" t="n"/>
      <c r="L71" s="56" t="n"/>
      <c r="M71" s="56" t="n"/>
      <c r="N71" s="47" t="n"/>
      <c r="O71" s="47" t="n"/>
    </row>
    <row r="72" ht="15" customHeight="1" s="42">
      <c r="A72" s="57" t="n">
        <v>69</v>
      </c>
      <c r="B72" s="57" t="n"/>
      <c r="C72" s="57" t="n"/>
      <c r="D72" s="57" t="n"/>
      <c r="E72" s="57" t="n"/>
      <c r="F72" s="57" t="n"/>
      <c r="G72" s="57" t="n"/>
      <c r="H72" s="57" t="n"/>
      <c r="I72" s="57" t="n"/>
      <c r="J72" s="57" t="n"/>
      <c r="K72" s="57" t="n"/>
      <c r="L72" s="57" t="n"/>
      <c r="M72" s="57" t="n"/>
      <c r="N72" s="58" t="n"/>
      <c r="O72" s="58" t="n"/>
    </row>
    <row r="73" ht="15" customHeight="1" s="42">
      <c r="A73" s="56" t="n">
        <v>70</v>
      </c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5" t="n"/>
      <c r="L73" s="56" t="n"/>
      <c r="M73" s="56" t="n"/>
      <c r="N73" s="47" t="n"/>
      <c r="O73" s="47" t="n"/>
    </row>
    <row r="74" ht="15" customHeight="1" s="42">
      <c r="A74" s="57" t="n">
        <v>71</v>
      </c>
      <c r="B74" s="57" t="n"/>
      <c r="C74" s="57" t="n"/>
      <c r="D74" s="57" t="n"/>
      <c r="E74" s="57" t="n"/>
      <c r="F74" s="57" t="n"/>
      <c r="G74" s="57" t="n"/>
      <c r="H74" s="57" t="n"/>
      <c r="I74" s="57" t="n"/>
      <c r="J74" s="57" t="n"/>
      <c r="K74" s="57" t="n"/>
      <c r="L74" s="57" t="n"/>
      <c r="M74" s="57" t="n"/>
      <c r="N74" s="58" t="n"/>
      <c r="O74" s="58" t="n"/>
    </row>
    <row r="75" ht="15" customHeight="1" s="42">
      <c r="A75" s="56" t="n">
        <v>72</v>
      </c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5" t="n"/>
      <c r="L75" s="56" t="n"/>
      <c r="M75" s="56" t="n"/>
      <c r="N75" s="47" t="n"/>
      <c r="O75" s="47" t="n"/>
    </row>
    <row r="76" ht="15" customHeight="1" s="42">
      <c r="A76" s="57" t="n">
        <v>73</v>
      </c>
      <c r="B76" s="57" t="n"/>
      <c r="C76" s="57" t="n"/>
      <c r="D76" s="57" t="n"/>
      <c r="E76" s="57" t="n"/>
      <c r="F76" s="57" t="n"/>
      <c r="G76" s="57" t="n"/>
      <c r="H76" s="57" t="n"/>
      <c r="I76" s="57" t="n"/>
      <c r="J76" s="57" t="n"/>
      <c r="K76" s="57" t="n"/>
      <c r="L76" s="57" t="n"/>
      <c r="M76" s="57" t="n"/>
      <c r="N76" s="58" t="n"/>
      <c r="O76" s="58" t="n"/>
    </row>
    <row r="77" ht="15" customHeight="1" s="42">
      <c r="A77" s="56" t="n">
        <v>74</v>
      </c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5" t="n"/>
      <c r="L77" s="56" t="n"/>
      <c r="M77" s="56" t="n"/>
      <c r="N77" s="47" t="n"/>
      <c r="O77" s="47" t="n"/>
    </row>
    <row r="78" ht="15" customHeight="1" s="42">
      <c r="A78" s="57" t="n">
        <v>75</v>
      </c>
      <c r="B78" s="57" t="n"/>
      <c r="C78" s="57" t="n"/>
      <c r="D78" s="57" t="n"/>
      <c r="E78" s="57" t="n"/>
      <c r="F78" s="57" t="n"/>
      <c r="G78" s="57" t="n"/>
      <c r="H78" s="57" t="n"/>
      <c r="I78" s="57" t="n"/>
      <c r="J78" s="57" t="n"/>
      <c r="K78" s="57" t="n"/>
      <c r="L78" s="57" t="n"/>
      <c r="M78" s="57" t="n"/>
      <c r="N78" s="58" t="n"/>
      <c r="O78" s="58" t="n"/>
    </row>
    <row r="79" ht="15" customHeight="1" s="42">
      <c r="A79" s="56" t="n">
        <v>76</v>
      </c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5" t="n"/>
      <c r="L79" s="56" t="n"/>
      <c r="M79" s="56" t="n"/>
      <c r="N79" s="47" t="n"/>
      <c r="O79" s="47" t="n"/>
    </row>
    <row r="80" ht="15" customHeight="1" s="42">
      <c r="A80" s="57" t="n">
        <v>77</v>
      </c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8" t="n"/>
      <c r="O80" s="58" t="n"/>
    </row>
    <row r="81" ht="15" customHeight="1" s="42">
      <c r="A81" s="56" t="n">
        <v>78</v>
      </c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5" t="n"/>
      <c r="L81" s="56" t="n"/>
      <c r="M81" s="56" t="n"/>
      <c r="N81" s="47" t="n"/>
      <c r="O81" s="47" t="n"/>
    </row>
    <row r="82" ht="15" customHeight="1" s="42">
      <c r="A82" s="57" t="n">
        <v>79</v>
      </c>
      <c r="B82" s="57" t="n"/>
      <c r="C82" s="57" t="n"/>
      <c r="D82" s="57" t="n"/>
      <c r="E82" s="57" t="n"/>
      <c r="F82" s="57" t="n"/>
      <c r="G82" s="57" t="n"/>
      <c r="H82" s="57" t="n"/>
      <c r="I82" s="57" t="n"/>
      <c r="J82" s="57" t="n"/>
      <c r="K82" s="57" t="n"/>
      <c r="L82" s="57" t="n"/>
      <c r="M82" s="57" t="n"/>
      <c r="N82" s="58" t="n"/>
      <c r="O82" s="58" t="n"/>
    </row>
    <row r="83" ht="15" customHeight="1" s="42">
      <c r="A83" s="56" t="n">
        <v>80</v>
      </c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5" t="n"/>
      <c r="L83" s="56" t="n"/>
      <c r="M83" s="56" t="n"/>
      <c r="N83" s="47" t="n"/>
      <c r="O83" s="47" t="n"/>
    </row>
    <row r="84" ht="15" customHeight="1" s="42">
      <c r="A84" s="57" t="n">
        <v>81</v>
      </c>
      <c r="B84" s="57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8" t="n"/>
      <c r="O84" s="58" t="n"/>
    </row>
    <row r="85" ht="15" customHeight="1" s="42">
      <c r="A85" s="56" t="n">
        <v>82</v>
      </c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5" t="n"/>
      <c r="L85" s="56" t="n"/>
      <c r="M85" s="56" t="n"/>
      <c r="N85" s="47" t="n"/>
      <c r="O85" s="47" t="n"/>
    </row>
    <row r="86" ht="15" customHeight="1" s="42">
      <c r="A86" s="57" t="n">
        <v>83</v>
      </c>
      <c r="B86" s="57" t="n"/>
      <c r="C86" s="57" t="n"/>
      <c r="D86" s="57" t="n"/>
      <c r="E86" s="57" t="n"/>
      <c r="F86" s="57" t="n"/>
      <c r="G86" s="57" t="n"/>
      <c r="H86" s="57" t="n"/>
      <c r="I86" s="57" t="n"/>
      <c r="J86" s="57" t="n"/>
      <c r="K86" s="57" t="n"/>
      <c r="L86" s="57" t="n"/>
      <c r="M86" s="57" t="n"/>
      <c r="N86" s="58" t="n"/>
      <c r="O86" s="58" t="n"/>
    </row>
    <row r="87" ht="15" customHeight="1" s="42">
      <c r="A87" s="56" t="n">
        <v>84</v>
      </c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5" t="n"/>
      <c r="L87" s="56" t="n"/>
      <c r="M87" s="56" t="n"/>
      <c r="N87" s="47" t="n"/>
      <c r="O87" s="47" t="n"/>
    </row>
    <row r="88" ht="15" customHeight="1" s="42">
      <c r="A88" s="57" t="n">
        <v>85</v>
      </c>
      <c r="B88" s="57" t="n"/>
      <c r="C88" s="57" t="n"/>
      <c r="D88" s="57" t="n"/>
      <c r="E88" s="57" t="n"/>
      <c r="F88" s="57" t="n"/>
      <c r="G88" s="57" t="n"/>
      <c r="H88" s="57" t="n"/>
      <c r="I88" s="57" t="n"/>
      <c r="J88" s="57" t="n"/>
      <c r="K88" s="57" t="n"/>
      <c r="L88" s="57" t="n"/>
      <c r="M88" s="57" t="n"/>
      <c r="N88" s="58" t="n"/>
      <c r="O88" s="58" t="n"/>
    </row>
    <row r="89" ht="15" customHeight="1" s="42">
      <c r="A89" s="56" t="n">
        <v>86</v>
      </c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5" t="n"/>
      <c r="L89" s="56" t="n"/>
      <c r="M89" s="56" t="n"/>
      <c r="N89" s="47" t="n"/>
      <c r="O89" s="47" t="n"/>
    </row>
    <row r="90" ht="15" customHeight="1" s="42">
      <c r="A90" s="57" t="n">
        <v>87</v>
      </c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57" t="n"/>
      <c r="L90" s="57" t="n"/>
      <c r="M90" s="57" t="n"/>
      <c r="N90" s="58" t="n"/>
      <c r="O90" s="58" t="n"/>
    </row>
    <row r="91" ht="15" customHeight="1" s="42">
      <c r="A91" s="56" t="n">
        <v>88</v>
      </c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5" t="n"/>
      <c r="L91" s="56" t="n"/>
      <c r="M91" s="56" t="n"/>
      <c r="N91" s="47" t="n"/>
      <c r="O91" s="47" t="n"/>
    </row>
    <row r="92" ht="15" customHeight="1" s="42">
      <c r="A92" s="57" t="n">
        <v>89</v>
      </c>
      <c r="B92" s="57" t="n"/>
      <c r="C92" s="57" t="n"/>
      <c r="D92" s="57" t="n"/>
      <c r="E92" s="57" t="n"/>
      <c r="F92" s="57" t="n"/>
      <c r="G92" s="57" t="n"/>
      <c r="H92" s="57" t="n"/>
      <c r="I92" s="57" t="n"/>
      <c r="J92" s="57" t="n"/>
      <c r="K92" s="57" t="n"/>
      <c r="L92" s="57" t="n"/>
      <c r="M92" s="57" t="n"/>
      <c r="N92" s="58" t="n"/>
      <c r="O92" s="58" t="n"/>
    </row>
    <row r="93" ht="15" customHeight="1" s="42">
      <c r="A93" s="56" t="n">
        <v>90</v>
      </c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5" t="n"/>
      <c r="L93" s="56" t="n"/>
      <c r="M93" s="56" t="n"/>
      <c r="N93" s="47" t="n"/>
      <c r="O93" s="47" t="n"/>
    </row>
    <row r="94" ht="15" customHeight="1" s="42">
      <c r="A94" s="57" t="n">
        <v>91</v>
      </c>
      <c r="B94" s="57" t="n"/>
      <c r="C94" s="57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8" t="n"/>
      <c r="O94" s="58" t="n"/>
    </row>
    <row r="95" ht="15" customHeight="1" s="42">
      <c r="A95" s="56" t="n">
        <v>92</v>
      </c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5" t="n"/>
      <c r="L95" s="56" t="n"/>
      <c r="M95" s="56" t="n"/>
      <c r="N95" s="47" t="n"/>
      <c r="O95" s="47" t="n"/>
    </row>
    <row r="96" ht="15" customHeight="1" s="42">
      <c r="A96" s="57" t="n">
        <v>93</v>
      </c>
      <c r="B96" s="57" t="n"/>
      <c r="C96" s="57" t="n"/>
      <c r="D96" s="57" t="n"/>
      <c r="E96" s="57" t="n"/>
      <c r="F96" s="57" t="n"/>
      <c r="G96" s="57" t="n"/>
      <c r="H96" s="57" t="n"/>
      <c r="I96" s="57" t="n"/>
      <c r="J96" s="57" t="n"/>
      <c r="K96" s="57" t="n"/>
      <c r="L96" s="57" t="n"/>
      <c r="M96" s="57" t="n"/>
      <c r="N96" s="58" t="n"/>
      <c r="O96" s="58" t="n"/>
    </row>
    <row r="97" ht="15" customHeight="1" s="42">
      <c r="A97" s="56" t="n">
        <v>94</v>
      </c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5" t="n"/>
      <c r="L97" s="56" t="n"/>
      <c r="M97" s="56" t="n"/>
      <c r="N97" s="47" t="n"/>
      <c r="O97" s="47" t="n"/>
    </row>
    <row r="98" ht="15" customHeight="1" s="42">
      <c r="A98" s="57" t="n">
        <v>95</v>
      </c>
      <c r="B98" s="57" t="n"/>
      <c r="C98" s="57" t="n"/>
      <c r="D98" s="57" t="n"/>
      <c r="E98" s="57" t="n"/>
      <c r="F98" s="57" t="n"/>
      <c r="G98" s="57" t="n"/>
      <c r="H98" s="57" t="n"/>
      <c r="I98" s="57" t="n"/>
      <c r="J98" s="57" t="n"/>
      <c r="K98" s="57" t="n"/>
      <c r="L98" s="57" t="n"/>
      <c r="M98" s="57" t="n"/>
      <c r="N98" s="58" t="n"/>
      <c r="O98" s="58" t="n"/>
    </row>
    <row r="99" ht="15" customHeight="1" s="42">
      <c r="A99" s="56" t="n">
        <v>96</v>
      </c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5" t="n"/>
      <c r="L99" s="56" t="n"/>
      <c r="M99" s="56" t="n"/>
      <c r="N99" s="47" t="n"/>
      <c r="O99" s="47" t="n"/>
    </row>
    <row r="100" ht="15" customHeight="1" s="42">
      <c r="A100" s="57" t="n">
        <v>97</v>
      </c>
      <c r="B100" s="57" t="n"/>
      <c r="C100" s="57" t="n"/>
      <c r="D100" s="57" t="n"/>
      <c r="E100" s="57" t="n"/>
      <c r="F100" s="57" t="n"/>
      <c r="G100" s="57" t="n"/>
      <c r="H100" s="57" t="n"/>
      <c r="I100" s="57" t="n"/>
      <c r="J100" s="57" t="n"/>
      <c r="K100" s="57" t="n"/>
      <c r="L100" s="57" t="n"/>
      <c r="M100" s="57" t="n"/>
      <c r="N100" s="58" t="n"/>
      <c r="O100" s="58" t="n"/>
    </row>
    <row r="101" ht="15" customHeight="1" s="42">
      <c r="A101" s="56" t="n">
        <v>98</v>
      </c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5" t="n"/>
      <c r="L101" s="56" t="n"/>
      <c r="M101" s="56" t="n"/>
      <c r="N101" s="47" t="n"/>
      <c r="O101" s="47" t="n"/>
    </row>
    <row r="102" ht="15" customHeight="1" s="42">
      <c r="A102" s="57" t="n">
        <v>99</v>
      </c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  <c r="K102" s="57" t="n"/>
      <c r="L102" s="57" t="n"/>
      <c r="M102" s="57" t="n"/>
      <c r="N102" s="58" t="n"/>
      <c r="O102" s="58" t="n"/>
    </row>
    <row r="103" ht="15" customHeight="1" s="42">
      <c r="A103" s="56" t="n">
        <v>100</v>
      </c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5" t="n"/>
      <c r="L103" s="56" t="n"/>
      <c r="M103" s="56" t="n"/>
      <c r="N103" s="47" t="n"/>
      <c r="O103" s="47" t="n"/>
    </row>
    <row r="104" ht="15" customHeight="1" s="42">
      <c r="A104" s="57" t="n">
        <v>101</v>
      </c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  <c r="K104" s="57" t="n"/>
      <c r="L104" s="57" t="n"/>
      <c r="M104" s="57" t="n"/>
      <c r="N104" s="58" t="n"/>
      <c r="O104" s="58" t="n"/>
    </row>
    <row r="105" ht="15" customHeight="1" s="42">
      <c r="A105" s="56" t="n">
        <v>102</v>
      </c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5" t="n"/>
      <c r="L105" s="56" t="n"/>
      <c r="M105" s="56" t="n"/>
      <c r="N105" s="47" t="n"/>
      <c r="O105" s="47" t="n"/>
    </row>
    <row r="106" ht="15" customHeight="1" s="42">
      <c r="A106" s="57" t="n">
        <v>103</v>
      </c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  <c r="K106" s="57" t="n"/>
      <c r="L106" s="57" t="n"/>
      <c r="M106" s="57" t="n"/>
      <c r="N106" s="58" t="n"/>
      <c r="O106" s="58" t="n"/>
    </row>
    <row r="107" ht="15" customHeight="1" s="42">
      <c r="A107" s="56" t="n">
        <v>104</v>
      </c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5" t="n"/>
      <c r="L107" s="56" t="n"/>
      <c r="M107" s="56" t="n"/>
      <c r="N107" s="47" t="n"/>
      <c r="O107" s="47" t="n"/>
    </row>
    <row r="108" ht="15" customHeight="1" s="42">
      <c r="A108" s="57" t="n">
        <v>105</v>
      </c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  <c r="K108" s="57" t="n"/>
      <c r="L108" s="57" t="n"/>
      <c r="M108" s="57" t="n"/>
      <c r="N108" s="58" t="n"/>
      <c r="O108" s="58" t="n"/>
    </row>
    <row r="109" ht="15" customHeight="1" s="42">
      <c r="A109" s="56" t="n">
        <v>106</v>
      </c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5" t="n"/>
      <c r="L109" s="56" t="n"/>
      <c r="M109" s="56" t="n"/>
      <c r="N109" s="47" t="n"/>
      <c r="O109" s="47" t="n"/>
    </row>
    <row r="110" ht="15" customHeight="1" s="42">
      <c r="A110" s="57" t="n">
        <v>107</v>
      </c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57" t="n"/>
      <c r="L110" s="57" t="n"/>
      <c r="M110" s="57" t="n"/>
      <c r="N110" s="58" t="n"/>
      <c r="O110" s="58" t="n"/>
    </row>
    <row r="111" ht="15" customHeight="1" s="42">
      <c r="A111" s="56" t="n">
        <v>108</v>
      </c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5" t="n"/>
      <c r="L111" s="56" t="n"/>
      <c r="M111" s="56" t="n"/>
      <c r="N111" s="47" t="n"/>
      <c r="O111" s="47" t="n"/>
    </row>
    <row r="112" ht="15" customHeight="1" s="42">
      <c r="A112" s="57" t="n">
        <v>109</v>
      </c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  <c r="K112" s="57" t="n"/>
      <c r="L112" s="57" t="n"/>
      <c r="M112" s="57" t="n"/>
      <c r="N112" s="58" t="n"/>
      <c r="O112" s="58" t="n"/>
    </row>
    <row r="113" ht="15" customHeight="1" s="42">
      <c r="A113" s="56" t="n">
        <v>110</v>
      </c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5" t="n"/>
      <c r="L113" s="56" t="n"/>
      <c r="M113" s="56" t="n"/>
      <c r="N113" s="47" t="n"/>
      <c r="O113" s="47" t="n"/>
    </row>
    <row r="114" ht="15" customHeight="1" s="42">
      <c r="A114" s="57" t="n">
        <v>111</v>
      </c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  <c r="K114" s="57" t="n"/>
      <c r="L114" s="57" t="n"/>
      <c r="M114" s="57" t="n"/>
      <c r="N114" s="58" t="n"/>
      <c r="O114" s="58" t="n"/>
    </row>
    <row r="115" ht="15" customHeight="1" s="42">
      <c r="A115" s="56" t="n">
        <v>112</v>
      </c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5" t="n"/>
      <c r="L115" s="56" t="n"/>
      <c r="M115" s="56" t="n"/>
      <c r="N115" s="47" t="n"/>
      <c r="O115" s="47" t="n"/>
    </row>
    <row r="116" ht="15" customHeight="1" s="42">
      <c r="A116" s="57" t="n">
        <v>113</v>
      </c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  <c r="K116" s="57" t="n"/>
      <c r="L116" s="57" t="n"/>
      <c r="M116" s="57" t="n"/>
      <c r="N116" s="58" t="n"/>
      <c r="O116" s="58" t="n"/>
    </row>
    <row r="117" ht="15" customHeight="1" s="42">
      <c r="A117" s="56" t="n">
        <v>114</v>
      </c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5" t="n"/>
      <c r="L117" s="56" t="n"/>
      <c r="M117" s="56" t="n"/>
      <c r="N117" s="47" t="n"/>
      <c r="O117" s="47" t="n"/>
    </row>
    <row r="118" ht="15" customHeight="1" s="42">
      <c r="A118" s="57" t="n">
        <v>115</v>
      </c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  <c r="K118" s="57" t="n"/>
      <c r="L118" s="57" t="n"/>
      <c r="M118" s="57" t="n"/>
      <c r="N118" s="58" t="n"/>
      <c r="O118" s="58" t="n"/>
    </row>
    <row r="119" ht="15" customHeight="1" s="42">
      <c r="A119" s="56" t="n">
        <v>116</v>
      </c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5" t="n"/>
      <c r="L119" s="56" t="n"/>
      <c r="M119" s="56" t="n"/>
      <c r="N119" s="47" t="n"/>
      <c r="O119" s="47" t="n"/>
    </row>
    <row r="120" ht="15" customHeight="1" s="42">
      <c r="A120" s="57" t="n">
        <v>117</v>
      </c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  <c r="K120" s="57" t="n"/>
      <c r="L120" s="57" t="n"/>
      <c r="M120" s="57" t="n"/>
      <c r="N120" s="58" t="n"/>
      <c r="O120" s="58" t="n"/>
    </row>
    <row r="121" ht="15" customHeight="1" s="42">
      <c r="A121" s="56" t="n">
        <v>118</v>
      </c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5" t="n"/>
      <c r="L121" s="56" t="n"/>
      <c r="M121" s="56" t="n"/>
      <c r="N121" s="47" t="n"/>
      <c r="O121" s="47" t="n"/>
    </row>
    <row r="122" ht="15" customHeight="1" s="42">
      <c r="A122" s="57" t="n">
        <v>119</v>
      </c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  <c r="K122" s="57" t="n"/>
      <c r="L122" s="57" t="n"/>
      <c r="M122" s="57" t="n"/>
      <c r="N122" s="58" t="n"/>
      <c r="O122" s="58" t="n"/>
    </row>
    <row r="123" ht="15" customHeight="1" s="42">
      <c r="A123" s="56" t="n">
        <v>120</v>
      </c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5" t="n"/>
      <c r="L123" s="56" t="n"/>
      <c r="M123" s="56" t="n"/>
      <c r="N123" s="47" t="n"/>
      <c r="O123" s="47" t="n"/>
    </row>
    <row r="124" ht="15" customHeight="1" s="42">
      <c r="A124" s="57" t="n">
        <v>121</v>
      </c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  <c r="K124" s="57" t="n"/>
      <c r="L124" s="57" t="n"/>
      <c r="M124" s="57" t="n"/>
      <c r="N124" s="58" t="n"/>
      <c r="O124" s="58" t="n"/>
    </row>
    <row r="125" ht="15" customHeight="1" s="42">
      <c r="A125" s="56" t="n">
        <v>122</v>
      </c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5" t="n"/>
      <c r="L125" s="56" t="n"/>
      <c r="M125" s="56" t="n"/>
      <c r="N125" s="47" t="n"/>
      <c r="O125" s="47" t="n"/>
    </row>
    <row r="126" ht="15" customHeight="1" s="42">
      <c r="A126" s="57" t="n">
        <v>123</v>
      </c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  <c r="K126" s="57" t="n"/>
      <c r="L126" s="57" t="n"/>
      <c r="M126" s="57" t="n"/>
      <c r="N126" s="58" t="n"/>
      <c r="O126" s="58" t="n"/>
    </row>
    <row r="127" ht="15" customHeight="1" s="42">
      <c r="A127" s="56" t="n">
        <v>124</v>
      </c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5" t="n"/>
      <c r="L127" s="56" t="n"/>
      <c r="M127" s="56" t="n"/>
      <c r="N127" s="47" t="n"/>
      <c r="O127" s="47" t="n"/>
    </row>
    <row r="128" ht="15" customHeight="1" s="42">
      <c r="A128" s="57" t="n">
        <v>125</v>
      </c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  <c r="K128" s="57" t="n"/>
      <c r="L128" s="57" t="n"/>
      <c r="M128" s="57" t="n"/>
      <c r="N128" s="58" t="n"/>
      <c r="O128" s="58" t="n"/>
    </row>
    <row r="129" ht="15" customHeight="1" s="42">
      <c r="A129" s="56" t="n">
        <v>126</v>
      </c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5" t="n"/>
      <c r="L129" s="56" t="n"/>
      <c r="M129" s="56" t="n"/>
      <c r="N129" s="47" t="n"/>
      <c r="O129" s="47" t="n"/>
    </row>
    <row r="130" ht="15" customHeight="1" s="42">
      <c r="A130" s="57" t="n">
        <v>127</v>
      </c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  <c r="K130" s="57" t="n"/>
      <c r="L130" s="57" t="n"/>
      <c r="M130" s="57" t="n"/>
      <c r="N130" s="58" t="n"/>
      <c r="O130" s="58" t="n"/>
    </row>
    <row r="131" ht="15" customHeight="1" s="42">
      <c r="A131" s="56" t="n">
        <v>128</v>
      </c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5" t="n"/>
      <c r="L131" s="56" t="n"/>
      <c r="M131" s="56" t="n"/>
      <c r="N131" s="47" t="n"/>
      <c r="O131" s="47" t="n"/>
    </row>
    <row r="132" ht="15" customHeight="1" s="42">
      <c r="A132" s="57" t="n">
        <v>129</v>
      </c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7" t="n"/>
      <c r="L132" s="57" t="n"/>
      <c r="M132" s="57" t="n"/>
      <c r="N132" s="58" t="n"/>
      <c r="O132" s="58" t="n"/>
    </row>
    <row r="133" ht="15" customHeight="1" s="42">
      <c r="A133" s="56" t="n">
        <v>130</v>
      </c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5" t="n"/>
      <c r="L133" s="56" t="n"/>
      <c r="M133" s="56" t="n"/>
      <c r="N133" s="47" t="n"/>
      <c r="O133" s="47" t="n"/>
    </row>
    <row r="134" ht="15" customHeight="1" s="42">
      <c r="A134" s="57" t="n">
        <v>131</v>
      </c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7" t="n"/>
      <c r="L134" s="57" t="n"/>
      <c r="M134" s="57" t="n"/>
      <c r="N134" s="58" t="n"/>
      <c r="O134" s="58" t="n"/>
    </row>
    <row r="135" ht="15" customHeight="1" s="42">
      <c r="A135" s="56" t="n">
        <v>132</v>
      </c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5" t="n"/>
      <c r="L135" s="56" t="n"/>
      <c r="M135" s="56" t="n"/>
      <c r="N135" s="47" t="n"/>
      <c r="O135" s="47" t="n"/>
    </row>
    <row r="136" ht="15" customHeight="1" s="42">
      <c r="A136" s="57" t="n">
        <v>133</v>
      </c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7" t="n"/>
      <c r="L136" s="57" t="n"/>
      <c r="M136" s="57" t="n"/>
      <c r="N136" s="58" t="n"/>
      <c r="O136" s="58" t="n"/>
    </row>
    <row r="137" ht="15" customHeight="1" s="42">
      <c r="A137" s="56" t="n">
        <v>134</v>
      </c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5" t="n"/>
      <c r="L137" s="56" t="n"/>
      <c r="M137" s="56" t="n"/>
      <c r="N137" s="47" t="n"/>
      <c r="O137" s="47" t="n"/>
    </row>
    <row r="138" ht="15" customHeight="1" s="42">
      <c r="A138" s="57" t="n">
        <v>135</v>
      </c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7" t="n"/>
      <c r="L138" s="57" t="n"/>
      <c r="M138" s="57" t="n"/>
      <c r="N138" s="58" t="n"/>
      <c r="O138" s="58" t="n"/>
    </row>
    <row r="139" ht="15" customHeight="1" s="42">
      <c r="A139" s="56" t="n">
        <v>136</v>
      </c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5" t="n"/>
      <c r="L139" s="56" t="n"/>
      <c r="M139" s="56" t="n"/>
      <c r="N139" s="47" t="n"/>
      <c r="O139" s="47" t="n"/>
    </row>
    <row r="140" ht="15" customHeight="1" s="42">
      <c r="A140" s="57" t="n">
        <v>137</v>
      </c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7" t="n"/>
      <c r="L140" s="57" t="n"/>
      <c r="M140" s="57" t="n"/>
      <c r="N140" s="58" t="n"/>
      <c r="O140" s="58" t="n"/>
    </row>
    <row r="141" ht="15" customHeight="1" s="42">
      <c r="A141" s="56" t="n">
        <v>138</v>
      </c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5" t="n"/>
      <c r="L141" s="56" t="n"/>
      <c r="M141" s="56" t="n"/>
      <c r="N141" s="47" t="n"/>
      <c r="O141" s="47" t="n"/>
    </row>
    <row r="142" ht="15" customHeight="1" s="42">
      <c r="A142" s="57" t="n">
        <v>139</v>
      </c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7" t="n"/>
      <c r="L142" s="57" t="n"/>
      <c r="M142" s="57" t="n"/>
      <c r="N142" s="58" t="n"/>
      <c r="O142" s="58" t="n"/>
    </row>
    <row r="143" ht="15" customHeight="1" s="42">
      <c r="A143" s="56" t="n">
        <v>140</v>
      </c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5" t="n"/>
      <c r="L143" s="56" t="n"/>
      <c r="M143" s="56" t="n"/>
      <c r="N143" s="47" t="n"/>
      <c r="O143" s="47" t="n"/>
    </row>
    <row r="144" ht="15" customHeight="1" s="42">
      <c r="A144" s="57" t="n">
        <v>141</v>
      </c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7" t="n"/>
      <c r="L144" s="57" t="n"/>
      <c r="M144" s="57" t="n"/>
      <c r="N144" s="58" t="n"/>
      <c r="O144" s="58" t="n"/>
    </row>
    <row r="145" ht="15" customHeight="1" s="42">
      <c r="A145" s="56" t="n">
        <v>142</v>
      </c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5" t="n"/>
      <c r="L145" s="56" t="n"/>
      <c r="M145" s="56" t="n"/>
      <c r="N145" s="47" t="n"/>
      <c r="O145" s="47" t="n"/>
    </row>
    <row r="146" ht="15" customHeight="1" s="42">
      <c r="A146" s="57" t="n">
        <v>143</v>
      </c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7" t="n"/>
      <c r="L146" s="57" t="n"/>
      <c r="M146" s="57" t="n"/>
      <c r="N146" s="58" t="n"/>
      <c r="O146" s="58" t="n"/>
    </row>
    <row r="147" ht="15" customHeight="1" s="42">
      <c r="A147" s="56" t="n">
        <v>144</v>
      </c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5" t="n"/>
      <c r="L147" s="56" t="n"/>
      <c r="M147" s="56" t="n"/>
      <c r="N147" s="47" t="n"/>
      <c r="O147" s="47" t="n"/>
    </row>
    <row r="148" ht="15" customHeight="1" s="42">
      <c r="A148" s="57" t="n">
        <v>145</v>
      </c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7" t="n"/>
      <c r="L148" s="57" t="n"/>
      <c r="M148" s="57" t="n"/>
      <c r="N148" s="58" t="n"/>
      <c r="O148" s="58" t="n"/>
    </row>
    <row r="149" ht="15" customHeight="1" s="42">
      <c r="A149" s="56" t="n">
        <v>146</v>
      </c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5" t="n"/>
      <c r="L149" s="56" t="n"/>
      <c r="M149" s="56" t="n"/>
      <c r="N149" s="47" t="n"/>
      <c r="O149" s="47" t="n"/>
    </row>
    <row r="150" ht="15" customHeight="1" s="42">
      <c r="A150" s="57" t="n">
        <v>147</v>
      </c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7" t="n"/>
      <c r="L150" s="57" t="n"/>
      <c r="M150" s="57" t="n"/>
      <c r="N150" s="58" t="n"/>
      <c r="O150" s="58" t="n"/>
    </row>
    <row r="151" ht="15" customHeight="1" s="42">
      <c r="A151" s="56" t="n">
        <v>148</v>
      </c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5" t="n"/>
      <c r="L151" s="56" t="n"/>
      <c r="M151" s="56" t="n"/>
      <c r="N151" s="47" t="n"/>
      <c r="O151" s="47" t="n"/>
    </row>
    <row r="152" ht="15" customHeight="1" s="42">
      <c r="A152" s="57" t="n">
        <v>149</v>
      </c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7" t="n"/>
      <c r="L152" s="57" t="n"/>
      <c r="M152" s="57" t="n"/>
      <c r="N152" s="58" t="n"/>
      <c r="O152" s="58" t="n"/>
    </row>
    <row r="153" ht="15" customHeight="1" s="42">
      <c r="A153" s="56" t="n">
        <v>150</v>
      </c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5" t="n"/>
      <c r="L153" s="56" t="n"/>
      <c r="M153" s="56" t="n"/>
      <c r="N153" s="47" t="n"/>
      <c r="O153" s="47" t="n"/>
    </row>
    <row r="154" ht="15" customHeight="1" s="42">
      <c r="A154" s="57" t="n">
        <v>151</v>
      </c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7" t="n"/>
      <c r="L154" s="57" t="n"/>
      <c r="M154" s="57" t="n"/>
      <c r="N154" s="58" t="n"/>
      <c r="O154" s="58" t="n"/>
    </row>
    <row r="155" ht="15" customHeight="1" s="42">
      <c r="A155" s="56" t="n">
        <v>152</v>
      </c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5" t="n"/>
      <c r="L155" s="56" t="n"/>
      <c r="M155" s="56" t="n"/>
      <c r="N155" s="47" t="n"/>
      <c r="O155" s="47" t="n"/>
    </row>
    <row r="156" ht="15" customHeight="1" s="42">
      <c r="A156" s="57" t="n">
        <v>153</v>
      </c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7" t="n"/>
      <c r="L156" s="57" t="n"/>
      <c r="M156" s="57" t="n"/>
      <c r="N156" s="58" t="n"/>
      <c r="O156" s="58" t="n"/>
    </row>
    <row r="157" ht="15" customHeight="1" s="42">
      <c r="A157" s="56" t="n">
        <v>154</v>
      </c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5" t="n"/>
      <c r="L157" s="56" t="n"/>
      <c r="M157" s="56" t="n"/>
      <c r="N157" s="47" t="n"/>
      <c r="O157" s="47" t="n"/>
    </row>
    <row r="158" ht="15" customHeight="1" s="42">
      <c r="A158" s="57" t="n">
        <v>155</v>
      </c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7" t="n"/>
      <c r="L158" s="57" t="n"/>
      <c r="M158" s="57" t="n"/>
      <c r="N158" s="58" t="n"/>
      <c r="O158" s="58" t="n"/>
    </row>
    <row r="159" ht="15" customHeight="1" s="42">
      <c r="A159" s="56" t="n">
        <v>156</v>
      </c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5" t="n"/>
      <c r="L159" s="56" t="n"/>
      <c r="M159" s="56" t="n"/>
      <c r="N159" s="47" t="n"/>
      <c r="O159" s="47" t="n"/>
    </row>
    <row r="160" ht="15" customHeight="1" s="42">
      <c r="A160" s="57" t="n">
        <v>157</v>
      </c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7" t="n"/>
      <c r="L160" s="57" t="n"/>
      <c r="M160" s="57" t="n"/>
      <c r="N160" s="58" t="n"/>
      <c r="O160" s="58" t="n"/>
    </row>
    <row r="161" ht="15" customHeight="1" s="42">
      <c r="A161" s="56" t="n">
        <v>158</v>
      </c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5" t="n"/>
      <c r="L161" s="56" t="n"/>
      <c r="M161" s="56" t="n"/>
      <c r="N161" s="47" t="n"/>
      <c r="O161" s="47" t="n"/>
    </row>
    <row r="162" ht="15" customHeight="1" s="42">
      <c r="A162" s="57" t="n">
        <v>159</v>
      </c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7" t="n"/>
      <c r="L162" s="57" t="n"/>
      <c r="M162" s="57" t="n"/>
      <c r="N162" s="58" t="n"/>
      <c r="O162" s="58" t="n"/>
    </row>
    <row r="163" ht="15" customHeight="1" s="42">
      <c r="A163" s="56" t="n">
        <v>160</v>
      </c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5" t="n"/>
      <c r="L163" s="56" t="n"/>
      <c r="M163" s="56" t="n"/>
      <c r="N163" s="47" t="n"/>
      <c r="O163" s="47" t="n"/>
    </row>
    <row r="164" ht="15" customHeight="1" s="42">
      <c r="A164" s="57" t="n">
        <v>161</v>
      </c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7" t="n"/>
      <c r="L164" s="57" t="n"/>
      <c r="M164" s="57" t="n"/>
      <c r="N164" s="58" t="n"/>
      <c r="O164" s="58" t="n"/>
    </row>
    <row r="165" ht="15" customHeight="1" s="42">
      <c r="A165" s="56" t="n">
        <v>162</v>
      </c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5" t="n"/>
      <c r="L165" s="56" t="n"/>
      <c r="M165" s="56" t="n"/>
      <c r="N165" s="47" t="n"/>
      <c r="O165" s="47" t="n"/>
    </row>
    <row r="166" ht="15" customHeight="1" s="42">
      <c r="A166" s="57" t="n">
        <v>163</v>
      </c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7" t="n"/>
      <c r="L166" s="57" t="n"/>
      <c r="M166" s="57" t="n"/>
      <c r="N166" s="58" t="n"/>
      <c r="O166" s="58" t="n"/>
    </row>
    <row r="167" ht="15" customHeight="1" s="42">
      <c r="A167" s="56" t="n">
        <v>164</v>
      </c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5" t="n"/>
      <c r="L167" s="56" t="n"/>
      <c r="M167" s="56" t="n"/>
      <c r="N167" s="47" t="n"/>
      <c r="O167" s="47" t="n"/>
    </row>
    <row r="168" ht="15" customHeight="1" s="42">
      <c r="A168" s="57" t="n">
        <v>165</v>
      </c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7" t="n"/>
      <c r="L168" s="57" t="n"/>
      <c r="M168" s="57" t="n"/>
      <c r="N168" s="58" t="n"/>
      <c r="O168" s="58" t="n"/>
    </row>
    <row r="169" ht="15" customHeight="1" s="42">
      <c r="A169" s="56" t="n">
        <v>166</v>
      </c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5" t="n"/>
      <c r="L169" s="56" t="n"/>
      <c r="M169" s="56" t="n"/>
      <c r="N169" s="47" t="n"/>
      <c r="O169" s="47" t="n"/>
    </row>
    <row r="170" ht="15" customHeight="1" s="42">
      <c r="A170" s="57" t="n">
        <v>167</v>
      </c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7" t="n"/>
      <c r="L170" s="57" t="n"/>
      <c r="M170" s="57" t="n"/>
      <c r="N170" s="58" t="n"/>
      <c r="O170" s="58" t="n"/>
    </row>
    <row r="171" ht="15" customHeight="1" s="42">
      <c r="A171" s="56" t="n">
        <v>168</v>
      </c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5" t="n"/>
      <c r="L171" s="56" t="n"/>
      <c r="M171" s="56" t="n"/>
      <c r="N171" s="47" t="n"/>
      <c r="O171" s="47" t="n"/>
    </row>
    <row r="172" ht="15" customHeight="1" s="42">
      <c r="A172" s="57" t="n">
        <v>169</v>
      </c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7" t="n"/>
      <c r="L172" s="57" t="n"/>
      <c r="M172" s="57" t="n"/>
      <c r="N172" s="58" t="n"/>
      <c r="O172" s="58" t="n"/>
    </row>
    <row r="173" ht="15" customHeight="1" s="42">
      <c r="A173" s="56" t="n">
        <v>170</v>
      </c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5" t="n"/>
      <c r="L173" s="56" t="n"/>
      <c r="M173" s="56" t="n"/>
      <c r="N173" s="47" t="n"/>
      <c r="O173" s="47" t="n"/>
    </row>
    <row r="174" ht="15" customHeight="1" s="42">
      <c r="A174" s="57" t="n">
        <v>171</v>
      </c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7" t="n"/>
      <c r="L174" s="57" t="n"/>
      <c r="M174" s="57" t="n"/>
      <c r="N174" s="58" t="n"/>
      <c r="O174" s="58" t="n"/>
    </row>
    <row r="175" ht="15" customHeight="1" s="42">
      <c r="A175" s="56" t="n">
        <v>172</v>
      </c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5" t="n"/>
      <c r="L175" s="56" t="n"/>
      <c r="M175" s="56" t="n"/>
      <c r="N175" s="47" t="n"/>
      <c r="O175" s="47" t="n"/>
    </row>
    <row r="176" ht="15" customHeight="1" s="42">
      <c r="A176" s="57" t="n">
        <v>173</v>
      </c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7" t="n"/>
      <c r="L176" s="57" t="n"/>
      <c r="M176" s="57" t="n"/>
      <c r="N176" s="58" t="n"/>
      <c r="O176" s="58" t="n"/>
    </row>
    <row r="177" ht="15" customHeight="1" s="42">
      <c r="A177" s="56" t="n">
        <v>174</v>
      </c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5" t="n"/>
      <c r="L177" s="56" t="n"/>
      <c r="M177" s="56" t="n"/>
      <c r="N177" s="47" t="n"/>
      <c r="O177" s="47" t="n"/>
    </row>
    <row r="178" ht="15" customHeight="1" s="42">
      <c r="A178" s="57" t="n">
        <v>175</v>
      </c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7" t="n"/>
      <c r="L178" s="57" t="n"/>
      <c r="M178" s="57" t="n"/>
      <c r="N178" s="58" t="n"/>
      <c r="O178" s="58" t="n"/>
    </row>
    <row r="179" ht="15" customHeight="1" s="42">
      <c r="A179" s="56" t="n">
        <v>176</v>
      </c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5" t="n"/>
      <c r="L179" s="56" t="n"/>
      <c r="M179" s="56" t="n"/>
      <c r="N179" s="47" t="n"/>
      <c r="O179" s="47" t="n"/>
    </row>
    <row r="180" ht="15" customHeight="1" s="42">
      <c r="A180" s="57" t="n">
        <v>177</v>
      </c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7" t="n"/>
      <c r="L180" s="57" t="n"/>
      <c r="M180" s="57" t="n"/>
      <c r="N180" s="58" t="n"/>
      <c r="O180" s="58" t="n"/>
    </row>
    <row r="181" ht="15" customHeight="1" s="42">
      <c r="A181" s="56" t="n">
        <v>178</v>
      </c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5" t="n"/>
      <c r="L181" s="56" t="n"/>
      <c r="M181" s="56" t="n"/>
      <c r="N181" s="47" t="n"/>
      <c r="O181" s="47" t="n"/>
    </row>
    <row r="182" ht="15" customHeight="1" s="42">
      <c r="A182" s="57" t="n">
        <v>179</v>
      </c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7" t="n"/>
      <c r="L182" s="57" t="n"/>
      <c r="M182" s="57" t="n"/>
      <c r="N182" s="58" t="n"/>
      <c r="O182" s="58" t="n"/>
    </row>
    <row r="183" ht="15" customHeight="1" s="42">
      <c r="A183" s="56" t="n">
        <v>180</v>
      </c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5" t="n"/>
      <c r="L183" s="56" t="n"/>
      <c r="M183" s="56" t="n"/>
      <c r="N183" s="47" t="n"/>
      <c r="O183" s="47" t="n"/>
    </row>
    <row r="184" ht="15" customHeight="1" s="42">
      <c r="A184" s="57" t="n">
        <v>181</v>
      </c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7" t="n"/>
      <c r="L184" s="57" t="n"/>
      <c r="M184" s="57" t="n"/>
      <c r="N184" s="58" t="n"/>
      <c r="O184" s="58" t="n"/>
    </row>
    <row r="185" ht="15" customHeight="1" s="42">
      <c r="A185" s="56" t="n">
        <v>182</v>
      </c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5" t="n"/>
      <c r="L185" s="56" t="n"/>
      <c r="M185" s="56" t="n"/>
      <c r="N185" s="47" t="n"/>
      <c r="O185" s="47" t="n"/>
    </row>
    <row r="186" ht="15" customHeight="1" s="42">
      <c r="A186" s="57" t="n">
        <v>183</v>
      </c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7" t="n"/>
      <c r="L186" s="57" t="n"/>
      <c r="M186" s="57" t="n"/>
      <c r="N186" s="58" t="n"/>
      <c r="O186" s="58" t="n"/>
    </row>
    <row r="187" ht="15" customHeight="1" s="42">
      <c r="A187" s="56" t="n">
        <v>184</v>
      </c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5" t="n"/>
      <c r="L187" s="56" t="n"/>
      <c r="M187" s="56" t="n"/>
      <c r="N187" s="47" t="n"/>
      <c r="O187" s="47" t="n"/>
    </row>
    <row r="188" ht="15" customHeight="1" s="42">
      <c r="A188" s="57" t="n">
        <v>185</v>
      </c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7" t="n"/>
      <c r="L188" s="57" t="n"/>
      <c r="M188" s="57" t="n"/>
      <c r="N188" s="58" t="n"/>
      <c r="O188" s="58" t="n"/>
    </row>
    <row r="189" ht="15" customHeight="1" s="42">
      <c r="A189" s="56" t="n">
        <v>186</v>
      </c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5" t="n"/>
      <c r="L189" s="56" t="n"/>
      <c r="M189" s="56" t="n"/>
      <c r="N189" s="47" t="n"/>
      <c r="O189" s="47" t="n"/>
    </row>
    <row r="190" ht="15" customHeight="1" s="42">
      <c r="A190" s="57" t="n">
        <v>187</v>
      </c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7" t="n"/>
      <c r="L190" s="57" t="n"/>
      <c r="M190" s="57" t="n"/>
      <c r="N190" s="58" t="n"/>
      <c r="O190" s="58" t="n"/>
    </row>
    <row r="191" ht="15" customHeight="1" s="42">
      <c r="A191" s="56" t="n">
        <v>188</v>
      </c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5" t="n"/>
      <c r="L191" s="56" t="n"/>
      <c r="M191" s="56" t="n"/>
      <c r="N191" s="47" t="n"/>
      <c r="O191" s="47" t="n"/>
    </row>
    <row r="192" ht="15" customHeight="1" s="42">
      <c r="A192" s="57" t="n">
        <v>189</v>
      </c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7" t="n"/>
      <c r="L192" s="57" t="n"/>
      <c r="M192" s="57" t="n"/>
      <c r="N192" s="58" t="n"/>
      <c r="O192" s="58" t="n"/>
    </row>
    <row r="193" ht="15" customHeight="1" s="42">
      <c r="A193" s="56" t="n">
        <v>190</v>
      </c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5" t="n"/>
      <c r="L193" s="56" t="n"/>
      <c r="M193" s="56" t="n"/>
      <c r="N193" s="47" t="n"/>
      <c r="O193" s="47" t="n"/>
    </row>
    <row r="194" ht="15" customHeight="1" s="42">
      <c r="A194" s="57" t="n">
        <v>191</v>
      </c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7" t="n"/>
      <c r="L194" s="57" t="n"/>
      <c r="M194" s="57" t="n"/>
      <c r="N194" s="58" t="n"/>
      <c r="O194" s="58" t="n"/>
    </row>
    <row r="195" ht="15" customHeight="1" s="42">
      <c r="A195" s="56" t="n">
        <v>192</v>
      </c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5" t="n"/>
      <c r="L195" s="56" t="n"/>
      <c r="M195" s="56" t="n"/>
      <c r="N195" s="47" t="n"/>
      <c r="O195" s="47" t="n"/>
    </row>
    <row r="196" ht="15" customHeight="1" s="42">
      <c r="A196" s="57" t="n">
        <v>193</v>
      </c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7" t="n"/>
      <c r="L196" s="57" t="n"/>
      <c r="M196" s="57" t="n"/>
      <c r="N196" s="58" t="n"/>
      <c r="O196" s="58" t="n"/>
    </row>
    <row r="197" ht="15" customHeight="1" s="42">
      <c r="A197" s="56" t="n">
        <v>194</v>
      </c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5" t="n"/>
      <c r="L197" s="56" t="n"/>
      <c r="M197" s="56" t="n"/>
      <c r="N197" s="47" t="n"/>
      <c r="O197" s="47" t="n"/>
    </row>
    <row r="198" ht="15" customHeight="1" s="42">
      <c r="A198" s="57" t="n">
        <v>195</v>
      </c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7" t="n"/>
      <c r="L198" s="57" t="n"/>
      <c r="M198" s="57" t="n"/>
      <c r="N198" s="58" t="n"/>
      <c r="O198" s="58" t="n"/>
    </row>
    <row r="199" ht="15" customHeight="1" s="42">
      <c r="A199" s="56" t="n">
        <v>196</v>
      </c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5" t="n"/>
      <c r="L199" s="56" t="n"/>
      <c r="M199" s="56" t="n"/>
      <c r="N199" s="47" t="n"/>
      <c r="O199" s="47" t="n"/>
    </row>
    <row r="200" ht="15" customHeight="1" s="42">
      <c r="A200" s="57" t="n">
        <v>197</v>
      </c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7" t="n"/>
      <c r="L200" s="57" t="n"/>
      <c r="M200" s="57" t="n"/>
      <c r="N200" s="58" t="n"/>
      <c r="O200" s="58" t="n"/>
    </row>
    <row r="201" ht="15" customHeight="1" s="42">
      <c r="A201" s="56" t="n">
        <v>198</v>
      </c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5" t="n"/>
      <c r="L201" s="56" t="n"/>
      <c r="M201" s="56" t="n"/>
      <c r="N201" s="47" t="n"/>
      <c r="O201" s="47" t="n"/>
    </row>
    <row r="202" ht="15" customHeight="1" s="42">
      <c r="A202" s="57" t="n">
        <v>199</v>
      </c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7" t="n"/>
      <c r="L202" s="57" t="n"/>
      <c r="M202" s="57" t="n"/>
      <c r="N202" s="58" t="n"/>
      <c r="O202" s="58" t="n"/>
    </row>
    <row r="203" ht="15" customHeight="1" s="42">
      <c r="A203" s="56" t="n">
        <v>200</v>
      </c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5" t="n"/>
      <c r="L203" s="56" t="n"/>
      <c r="M203" s="56" t="n"/>
      <c r="N203" s="47" t="n"/>
      <c r="O203" s="47" t="n"/>
    </row>
    <row r="204" ht="15" customHeight="1" s="42">
      <c r="A204" s="57" t="n">
        <v>201</v>
      </c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7" t="n"/>
      <c r="L204" s="57" t="n"/>
      <c r="M204" s="57" t="n"/>
      <c r="N204" s="58" t="n"/>
      <c r="O204" s="58" t="n"/>
    </row>
    <row r="205" ht="15" customHeight="1" s="42">
      <c r="A205" s="56" t="n">
        <v>202</v>
      </c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5" t="n"/>
      <c r="L205" s="56" t="n"/>
      <c r="M205" s="56" t="n"/>
      <c r="N205" s="47" t="n"/>
      <c r="O205" s="47" t="n"/>
    </row>
    <row r="206" ht="15" customHeight="1" s="42">
      <c r="A206" s="57" t="n">
        <v>203</v>
      </c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7" t="n"/>
      <c r="L206" s="57" t="n"/>
      <c r="M206" s="57" t="n"/>
      <c r="N206" s="58" t="n"/>
      <c r="O206" s="58" t="n"/>
    </row>
    <row r="207" ht="15" customHeight="1" s="42">
      <c r="A207" s="56" t="n">
        <v>204</v>
      </c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5" t="n"/>
      <c r="L207" s="56" t="n"/>
      <c r="M207" s="56" t="n"/>
      <c r="N207" s="47" t="n"/>
      <c r="O207" s="47" t="n"/>
    </row>
    <row r="208" ht="15" customHeight="1" s="42">
      <c r="A208" s="57" t="n">
        <v>205</v>
      </c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7" t="n"/>
      <c r="L208" s="57" t="n"/>
      <c r="M208" s="57" t="n"/>
      <c r="N208" s="58" t="n"/>
      <c r="O208" s="58" t="n"/>
    </row>
    <row r="209" ht="15" customHeight="1" s="42">
      <c r="A209" s="56" t="n">
        <v>206</v>
      </c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5" t="n"/>
      <c r="L209" s="56" t="n"/>
      <c r="M209" s="56" t="n"/>
      <c r="N209" s="47" t="n"/>
      <c r="O209" s="47" t="n"/>
    </row>
    <row r="210" ht="15" customHeight="1" s="42">
      <c r="A210" s="57" t="n">
        <v>207</v>
      </c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7" t="n"/>
      <c r="L210" s="57" t="n"/>
      <c r="M210" s="57" t="n"/>
      <c r="N210" s="58" t="n"/>
      <c r="O210" s="58" t="n"/>
    </row>
    <row r="211" ht="15" customHeight="1" s="42">
      <c r="A211" s="56" t="n">
        <v>208</v>
      </c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5" t="n"/>
      <c r="L211" s="56" t="n"/>
      <c r="M211" s="56" t="n"/>
      <c r="N211" s="47" t="n"/>
      <c r="O211" s="47" t="n"/>
    </row>
    <row r="212" ht="15" customHeight="1" s="42">
      <c r="A212" s="57" t="n">
        <v>209</v>
      </c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7" t="n"/>
      <c r="L212" s="57" t="n"/>
      <c r="M212" s="57" t="n"/>
      <c r="N212" s="58" t="n"/>
      <c r="O212" s="58" t="n"/>
    </row>
    <row r="213" ht="15" customHeight="1" s="42">
      <c r="A213" s="56" t="n">
        <v>210</v>
      </c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5" t="n"/>
      <c r="L213" s="56" t="n"/>
      <c r="M213" s="56" t="n"/>
      <c r="N213" s="47" t="n"/>
      <c r="O213" s="47" t="n"/>
    </row>
    <row r="214" ht="15" customHeight="1" s="42">
      <c r="A214" s="57" t="n">
        <v>211</v>
      </c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7" t="n"/>
      <c r="L214" s="57" t="n"/>
      <c r="M214" s="57" t="n"/>
      <c r="N214" s="58" t="n"/>
      <c r="O214" s="58" t="n"/>
    </row>
    <row r="215" ht="15" customHeight="1" s="42">
      <c r="A215" s="56" t="n">
        <v>212</v>
      </c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5" t="n"/>
      <c r="L215" s="56" t="n"/>
      <c r="M215" s="56" t="n"/>
      <c r="N215" s="47" t="n"/>
      <c r="O215" s="47" t="n"/>
    </row>
    <row r="216" ht="15" customHeight="1" s="42">
      <c r="A216" s="57" t="n">
        <v>213</v>
      </c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7" t="n"/>
      <c r="L216" s="57" t="n"/>
      <c r="M216" s="57" t="n"/>
      <c r="N216" s="58" t="n"/>
      <c r="O216" s="58" t="n"/>
    </row>
    <row r="217" ht="15" customHeight="1" s="42">
      <c r="A217" s="56" t="n">
        <v>214</v>
      </c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5" t="n"/>
      <c r="L217" s="56" t="n"/>
      <c r="M217" s="56" t="n"/>
      <c r="N217" s="47" t="n"/>
      <c r="O217" s="47" t="n"/>
    </row>
    <row r="218" ht="15" customHeight="1" s="42">
      <c r="A218" s="57" t="n">
        <v>215</v>
      </c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7" t="n"/>
      <c r="L218" s="57" t="n"/>
      <c r="M218" s="57" t="n"/>
      <c r="N218" s="58" t="n"/>
      <c r="O218" s="58" t="n"/>
    </row>
    <row r="219" ht="15" customHeight="1" s="42">
      <c r="A219" s="56" t="n">
        <v>216</v>
      </c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5" t="n"/>
      <c r="L219" s="56" t="n"/>
      <c r="M219" s="56" t="n"/>
      <c r="N219" s="47" t="n"/>
      <c r="O219" s="47" t="n"/>
    </row>
    <row r="220" ht="15" customHeight="1" s="42">
      <c r="A220" s="57" t="n">
        <v>217</v>
      </c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7" t="n"/>
      <c r="L220" s="57" t="n"/>
      <c r="M220" s="57" t="n"/>
      <c r="N220" s="58" t="n"/>
      <c r="O220" s="58" t="n"/>
    </row>
    <row r="221" ht="15" customHeight="1" s="42">
      <c r="A221" s="56" t="n">
        <v>218</v>
      </c>
      <c r="B221" s="56" t="n"/>
      <c r="C221" s="56" t="n"/>
      <c r="D221" s="56" t="n"/>
      <c r="E221" s="56" t="n"/>
      <c r="F221" s="56" t="n"/>
      <c r="G221" s="56" t="n"/>
      <c r="H221" s="56" t="n"/>
      <c r="I221" s="56" t="n"/>
      <c r="J221" s="56" t="n"/>
      <c r="K221" s="55" t="n"/>
      <c r="L221" s="56" t="n"/>
      <c r="M221" s="56" t="n"/>
      <c r="N221" s="47" t="n"/>
      <c r="O221" s="47" t="n"/>
    </row>
    <row r="222" ht="15" customHeight="1" s="42">
      <c r="A222" s="57" t="n">
        <v>219</v>
      </c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7" t="n"/>
      <c r="L222" s="57" t="n"/>
      <c r="M222" s="57" t="n"/>
      <c r="N222" s="58" t="n"/>
      <c r="O222" s="58" t="n"/>
    </row>
    <row r="223" ht="15" customHeight="1" s="42">
      <c r="A223" s="56" t="n">
        <v>220</v>
      </c>
      <c r="B223" s="56" t="n"/>
      <c r="C223" s="56" t="n"/>
      <c r="D223" s="56" t="n"/>
      <c r="E223" s="56" t="n"/>
      <c r="F223" s="56" t="n"/>
      <c r="G223" s="56" t="n"/>
      <c r="H223" s="56" t="n"/>
      <c r="I223" s="56" t="n"/>
      <c r="J223" s="56" t="n"/>
      <c r="K223" s="55" t="n"/>
      <c r="L223" s="56" t="n"/>
      <c r="M223" s="56" t="n"/>
      <c r="N223" s="47" t="n"/>
      <c r="O223" s="47" t="n"/>
    </row>
    <row r="224" ht="15" customHeight="1" s="42">
      <c r="A224" s="57" t="n">
        <v>221</v>
      </c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7" t="n"/>
      <c r="L224" s="57" t="n"/>
      <c r="M224" s="57" t="n"/>
      <c r="N224" s="58" t="n"/>
      <c r="O224" s="58" t="n"/>
    </row>
    <row r="225" ht="15" customHeight="1" s="42">
      <c r="A225" s="56" t="n">
        <v>222</v>
      </c>
      <c r="B225" s="56" t="n"/>
      <c r="C225" s="56" t="n"/>
      <c r="D225" s="56" t="n"/>
      <c r="E225" s="56" t="n"/>
      <c r="F225" s="56" t="n"/>
      <c r="G225" s="56" t="n"/>
      <c r="H225" s="56" t="n"/>
      <c r="I225" s="56" t="n"/>
      <c r="J225" s="56" t="n"/>
      <c r="K225" s="55" t="n"/>
      <c r="L225" s="56" t="n"/>
      <c r="M225" s="56" t="n"/>
      <c r="N225" s="47" t="n"/>
      <c r="O225" s="47" t="n"/>
    </row>
    <row r="226" ht="15" customHeight="1" s="42">
      <c r="A226" s="57" t="n">
        <v>223</v>
      </c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7" t="n"/>
      <c r="L226" s="57" t="n"/>
      <c r="M226" s="57" t="n"/>
      <c r="N226" s="58" t="n"/>
      <c r="O226" s="58" t="n"/>
    </row>
    <row r="227" ht="15" customHeight="1" s="42">
      <c r="A227" s="56" t="n">
        <v>224</v>
      </c>
      <c r="B227" s="56" t="n"/>
      <c r="C227" s="56" t="n"/>
      <c r="D227" s="56" t="n"/>
      <c r="E227" s="56" t="n"/>
      <c r="F227" s="56" t="n"/>
      <c r="G227" s="56" t="n"/>
      <c r="H227" s="56" t="n"/>
      <c r="I227" s="56" t="n"/>
      <c r="J227" s="56" t="n"/>
      <c r="K227" s="55" t="n"/>
      <c r="L227" s="56" t="n"/>
      <c r="M227" s="56" t="n"/>
      <c r="N227" s="47" t="n"/>
      <c r="O227" s="47" t="n"/>
    </row>
    <row r="228" ht="15" customHeight="1" s="42">
      <c r="A228" s="57" t="n">
        <v>225</v>
      </c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7" t="n"/>
      <c r="L228" s="57" t="n"/>
      <c r="M228" s="57" t="n"/>
      <c r="N228" s="58" t="n"/>
      <c r="O228" s="58" t="n"/>
    </row>
    <row r="229" ht="15" customHeight="1" s="42">
      <c r="A229" s="56" t="n">
        <v>226</v>
      </c>
      <c r="B229" s="56" t="n"/>
      <c r="C229" s="56" t="n"/>
      <c r="D229" s="56" t="n"/>
      <c r="E229" s="56" t="n"/>
      <c r="F229" s="56" t="n"/>
      <c r="G229" s="56" t="n"/>
      <c r="H229" s="56" t="n"/>
      <c r="I229" s="56" t="n"/>
      <c r="J229" s="56" t="n"/>
      <c r="K229" s="55" t="n"/>
      <c r="L229" s="56" t="n"/>
      <c r="M229" s="56" t="n"/>
      <c r="N229" s="47" t="n"/>
      <c r="O229" s="47" t="n"/>
    </row>
    <row r="230" ht="15" customHeight="1" s="42">
      <c r="A230" s="57" t="n">
        <v>227</v>
      </c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7" t="n"/>
      <c r="L230" s="57" t="n"/>
      <c r="M230" s="57" t="n"/>
      <c r="N230" s="58" t="n"/>
      <c r="O230" s="58" t="n"/>
    </row>
    <row r="231" ht="15" customHeight="1" s="42">
      <c r="A231" s="56" t="n">
        <v>228</v>
      </c>
      <c r="B231" s="56" t="n"/>
      <c r="C231" s="56" t="n"/>
      <c r="D231" s="56" t="n"/>
      <c r="E231" s="56" t="n"/>
      <c r="F231" s="56" t="n"/>
      <c r="G231" s="56" t="n"/>
      <c r="H231" s="56" t="n"/>
      <c r="I231" s="56" t="n"/>
      <c r="J231" s="56" t="n"/>
      <c r="K231" s="55" t="n"/>
      <c r="L231" s="56" t="n"/>
      <c r="M231" s="56" t="n"/>
      <c r="N231" s="47" t="n"/>
      <c r="O231" s="47" t="n"/>
    </row>
    <row r="232" ht="15" customHeight="1" s="42">
      <c r="A232" s="57" t="n">
        <v>229</v>
      </c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7" t="n"/>
      <c r="L232" s="57" t="n"/>
      <c r="M232" s="57" t="n"/>
      <c r="N232" s="58" t="n"/>
      <c r="O232" s="58" t="n"/>
    </row>
    <row r="233" ht="15" customHeight="1" s="42">
      <c r="A233" s="56" t="n">
        <v>230</v>
      </c>
      <c r="B233" s="56" t="n"/>
      <c r="C233" s="56" t="n"/>
      <c r="D233" s="56" t="n"/>
      <c r="E233" s="56" t="n"/>
      <c r="F233" s="56" t="n"/>
      <c r="G233" s="56" t="n"/>
      <c r="H233" s="56" t="n"/>
      <c r="I233" s="56" t="n"/>
      <c r="J233" s="56" t="n"/>
      <c r="K233" s="55" t="n"/>
      <c r="L233" s="56" t="n"/>
      <c r="M233" s="56" t="n"/>
      <c r="N233" s="47" t="n"/>
      <c r="O233" s="47" t="n"/>
    </row>
    <row r="234" ht="15" customHeight="1" s="42">
      <c r="A234" s="57" t="n">
        <v>231</v>
      </c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7" t="n"/>
      <c r="L234" s="57" t="n"/>
      <c r="M234" s="57" t="n"/>
      <c r="N234" s="58" t="n"/>
      <c r="O234" s="58" t="n"/>
    </row>
    <row r="235" ht="15" customHeight="1" s="42">
      <c r="A235" s="56" t="n">
        <v>232</v>
      </c>
      <c r="B235" s="56" t="n"/>
      <c r="C235" s="56" t="n"/>
      <c r="D235" s="56" t="n"/>
      <c r="E235" s="56" t="n"/>
      <c r="F235" s="56" t="n"/>
      <c r="G235" s="56" t="n"/>
      <c r="H235" s="56" t="n"/>
      <c r="I235" s="56" t="n"/>
      <c r="J235" s="56" t="n"/>
      <c r="K235" s="55" t="n"/>
      <c r="L235" s="56" t="n"/>
      <c r="M235" s="56" t="n"/>
      <c r="N235" s="47" t="n"/>
      <c r="O235" s="47" t="n"/>
    </row>
    <row r="236" ht="15" customHeight="1" s="42">
      <c r="A236" s="57" t="n">
        <v>233</v>
      </c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7" t="n"/>
      <c r="L236" s="57" t="n"/>
      <c r="M236" s="57" t="n"/>
      <c r="N236" s="58" t="n"/>
      <c r="O236" s="58" t="n"/>
    </row>
    <row r="237" ht="15" customHeight="1" s="42">
      <c r="A237" s="56" t="n">
        <v>234</v>
      </c>
      <c r="B237" s="56" t="n"/>
      <c r="C237" s="56" t="n"/>
      <c r="D237" s="56" t="n"/>
      <c r="E237" s="56" t="n"/>
      <c r="F237" s="56" t="n"/>
      <c r="G237" s="56" t="n"/>
      <c r="H237" s="56" t="n"/>
      <c r="I237" s="56" t="n"/>
      <c r="J237" s="56" t="n"/>
      <c r="K237" s="55" t="n"/>
      <c r="L237" s="56" t="n"/>
      <c r="M237" s="56" t="n"/>
      <c r="N237" s="47" t="n"/>
      <c r="O237" s="47" t="n"/>
    </row>
    <row r="238" ht="15" customHeight="1" s="42">
      <c r="A238" s="57" t="n">
        <v>235</v>
      </c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7" t="n"/>
      <c r="L238" s="57" t="n"/>
      <c r="M238" s="57" t="n"/>
      <c r="N238" s="58" t="n"/>
      <c r="O238" s="58" t="n"/>
    </row>
    <row r="239" ht="15" customHeight="1" s="42">
      <c r="A239" s="56" t="n">
        <v>236</v>
      </c>
      <c r="B239" s="56" t="n"/>
      <c r="C239" s="56" t="n"/>
      <c r="D239" s="56" t="n"/>
      <c r="E239" s="56" t="n"/>
      <c r="F239" s="56" t="n"/>
      <c r="G239" s="56" t="n"/>
      <c r="H239" s="56" t="n"/>
      <c r="I239" s="56" t="n"/>
      <c r="J239" s="56" t="n"/>
      <c r="K239" s="55" t="n"/>
      <c r="L239" s="56" t="n"/>
      <c r="M239" s="56" t="n"/>
      <c r="N239" s="47" t="n"/>
      <c r="O239" s="47" t="n"/>
    </row>
    <row r="240" ht="15" customHeight="1" s="42">
      <c r="A240" s="57" t="n">
        <v>237</v>
      </c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7" t="n"/>
      <c r="L240" s="57" t="n"/>
      <c r="M240" s="57" t="n"/>
      <c r="N240" s="58" t="n"/>
      <c r="O240" s="58" t="n"/>
    </row>
    <row r="241" ht="15" customHeight="1" s="42">
      <c r="A241" s="56" t="n">
        <v>238</v>
      </c>
      <c r="B241" s="56" t="n"/>
      <c r="C241" s="56" t="n"/>
      <c r="D241" s="56" t="n"/>
      <c r="E241" s="56" t="n"/>
      <c r="F241" s="56" t="n"/>
      <c r="G241" s="56" t="n"/>
      <c r="H241" s="56" t="n"/>
      <c r="I241" s="56" t="n"/>
      <c r="J241" s="56" t="n"/>
      <c r="K241" s="55" t="n"/>
      <c r="L241" s="56" t="n"/>
      <c r="M241" s="56" t="n"/>
      <c r="N241" s="47" t="n"/>
      <c r="O241" s="47" t="n"/>
    </row>
    <row r="242" ht="15" customHeight="1" s="42">
      <c r="A242" s="57" t="n">
        <v>239</v>
      </c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7" t="n"/>
      <c r="L242" s="57" t="n"/>
      <c r="M242" s="57" t="n"/>
      <c r="N242" s="58" t="n"/>
      <c r="O242" s="58" t="n"/>
    </row>
    <row r="243" ht="15" customHeight="1" s="42">
      <c r="A243" s="56" t="n">
        <v>240</v>
      </c>
      <c r="B243" s="56" t="n"/>
      <c r="C243" s="56" t="n"/>
      <c r="D243" s="56" t="n"/>
      <c r="E243" s="56" t="n"/>
      <c r="F243" s="56" t="n"/>
      <c r="G243" s="56" t="n"/>
      <c r="H243" s="56" t="n"/>
      <c r="I243" s="56" t="n"/>
      <c r="J243" s="56" t="n"/>
      <c r="K243" s="55" t="n"/>
      <c r="L243" s="56" t="n"/>
      <c r="M243" s="56" t="n"/>
      <c r="N243" s="47" t="n"/>
      <c r="O243" s="47" t="n"/>
    </row>
    <row r="244" ht="15" customHeight="1" s="42">
      <c r="A244" s="57" t="n">
        <v>241</v>
      </c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7" t="n"/>
      <c r="L244" s="57" t="n"/>
      <c r="M244" s="57" t="n"/>
      <c r="N244" s="58" t="n"/>
      <c r="O244" s="58" t="n"/>
    </row>
    <row r="245" ht="15" customHeight="1" s="42">
      <c r="A245" s="56" t="n">
        <v>242</v>
      </c>
      <c r="B245" s="56" t="n"/>
      <c r="C245" s="56" t="n"/>
      <c r="D245" s="56" t="n"/>
      <c r="E245" s="56" t="n"/>
      <c r="F245" s="56" t="n"/>
      <c r="G245" s="56" t="n"/>
      <c r="H245" s="56" t="n"/>
      <c r="I245" s="56" t="n"/>
      <c r="J245" s="56" t="n"/>
      <c r="K245" s="55" t="n"/>
      <c r="L245" s="56" t="n"/>
      <c r="M245" s="56" t="n"/>
      <c r="N245" s="47" t="n"/>
      <c r="O245" s="47" t="n"/>
    </row>
    <row r="246" ht="15" customHeight="1" s="42">
      <c r="A246" s="57" t="n">
        <v>243</v>
      </c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7" t="n"/>
      <c r="L246" s="57" t="n"/>
      <c r="M246" s="57" t="n"/>
      <c r="N246" s="58" t="n"/>
      <c r="O246" s="58" t="n"/>
    </row>
    <row r="247" ht="15" customHeight="1" s="42">
      <c r="A247" s="56" t="n">
        <v>244</v>
      </c>
      <c r="B247" s="56" t="n"/>
      <c r="C247" s="56" t="n"/>
      <c r="D247" s="56" t="n"/>
      <c r="E247" s="56" t="n"/>
      <c r="F247" s="56" t="n"/>
      <c r="G247" s="56" t="n"/>
      <c r="H247" s="56" t="n"/>
      <c r="I247" s="56" t="n"/>
      <c r="J247" s="56" t="n"/>
      <c r="K247" s="55" t="n"/>
      <c r="L247" s="56" t="n"/>
      <c r="M247" s="56" t="n"/>
      <c r="N247" s="47" t="n"/>
      <c r="O247" s="47" t="n"/>
    </row>
    <row r="248" ht="15" customHeight="1" s="42">
      <c r="A248" s="57" t="n">
        <v>245</v>
      </c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7" t="n"/>
      <c r="L248" s="57" t="n"/>
      <c r="M248" s="57" t="n"/>
      <c r="N248" s="58" t="n"/>
      <c r="O248" s="58" t="n"/>
    </row>
    <row r="249" ht="15" customHeight="1" s="42">
      <c r="A249" s="56" t="n">
        <v>246</v>
      </c>
      <c r="B249" s="56" t="n"/>
      <c r="C249" s="56" t="n"/>
      <c r="D249" s="56" t="n"/>
      <c r="E249" s="56" t="n"/>
      <c r="F249" s="56" t="n"/>
      <c r="G249" s="56" t="n"/>
      <c r="H249" s="56" t="n"/>
      <c r="I249" s="56" t="n"/>
      <c r="J249" s="56" t="n"/>
      <c r="K249" s="55" t="n"/>
      <c r="L249" s="56" t="n"/>
      <c r="M249" s="56" t="n"/>
      <c r="N249" s="47" t="n"/>
      <c r="O249" s="47" t="n"/>
    </row>
    <row r="250" ht="15" customHeight="1" s="42">
      <c r="A250" s="57" t="n">
        <v>247</v>
      </c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7" t="n"/>
      <c r="L250" s="57" t="n"/>
      <c r="M250" s="57" t="n"/>
      <c r="N250" s="58" t="n"/>
      <c r="O250" s="58" t="n"/>
    </row>
    <row r="251" ht="15" customHeight="1" s="42">
      <c r="A251" s="56" t="n">
        <v>248</v>
      </c>
      <c r="B251" s="56" t="n"/>
      <c r="C251" s="56" t="n"/>
      <c r="D251" s="56" t="n"/>
      <c r="E251" s="56" t="n"/>
      <c r="F251" s="56" t="n"/>
      <c r="G251" s="56" t="n"/>
      <c r="H251" s="56" t="n"/>
      <c r="I251" s="56" t="n"/>
      <c r="J251" s="56" t="n"/>
      <c r="K251" s="55" t="n"/>
      <c r="L251" s="56" t="n"/>
      <c r="M251" s="56" t="n"/>
      <c r="N251" s="47" t="n"/>
      <c r="O251" s="47" t="n"/>
    </row>
    <row r="252" ht="15" customHeight="1" s="42">
      <c r="A252" s="57" t="n">
        <v>249</v>
      </c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7" t="n"/>
      <c r="L252" s="57" t="n"/>
      <c r="M252" s="57" t="n"/>
      <c r="N252" s="58" t="n"/>
      <c r="O252" s="58" t="n"/>
    </row>
    <row r="253" ht="15" customHeight="1" s="42">
      <c r="A253" s="56" t="n">
        <v>250</v>
      </c>
      <c r="B253" s="56" t="n"/>
      <c r="C253" s="56" t="n"/>
      <c r="D253" s="56" t="n"/>
      <c r="E253" s="56" t="n"/>
      <c r="F253" s="56" t="n"/>
      <c r="G253" s="56" t="n"/>
      <c r="H253" s="56" t="n"/>
      <c r="I253" s="56" t="n"/>
      <c r="J253" s="56" t="n"/>
      <c r="K253" s="55" t="n"/>
      <c r="L253" s="56" t="n"/>
      <c r="M253" s="56" t="n"/>
      <c r="N253" s="47" t="n"/>
      <c r="O253" s="47" t="n"/>
    </row>
    <row r="254" ht="15" customHeight="1" s="42">
      <c r="A254" s="57" t="n">
        <v>251</v>
      </c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8" t="n"/>
      <c r="O254" s="58" t="n"/>
    </row>
    <row r="255" ht="15" customHeight="1" s="42">
      <c r="A255" s="56" t="n">
        <v>252</v>
      </c>
      <c r="B255" s="56" t="n"/>
      <c r="C255" s="56" t="n"/>
      <c r="D255" s="56" t="n"/>
      <c r="E255" s="56" t="n"/>
      <c r="F255" s="56" t="n"/>
      <c r="G255" s="56" t="n"/>
      <c r="H255" s="56" t="n"/>
      <c r="I255" s="56" t="n"/>
      <c r="J255" s="56" t="n"/>
      <c r="K255" s="55" t="n"/>
      <c r="L255" s="56" t="n"/>
      <c r="M255" s="56" t="n"/>
      <c r="N255" s="47" t="n"/>
      <c r="O255" s="47" t="n"/>
    </row>
    <row r="256" ht="15" customHeight="1" s="42">
      <c r="A256" s="57" t="n">
        <v>253</v>
      </c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7" t="n"/>
      <c r="L256" s="57" t="n"/>
      <c r="M256" s="57" t="n"/>
      <c r="N256" s="58" t="n"/>
      <c r="O256" s="58" t="n"/>
    </row>
    <row r="257" ht="15" customHeight="1" s="42">
      <c r="A257" s="56" t="n">
        <v>254</v>
      </c>
      <c r="B257" s="56" t="n"/>
      <c r="C257" s="56" t="n"/>
      <c r="D257" s="56" t="n"/>
      <c r="E257" s="56" t="n"/>
      <c r="F257" s="56" t="n"/>
      <c r="G257" s="56" t="n"/>
      <c r="H257" s="56" t="n"/>
      <c r="I257" s="56" t="n"/>
      <c r="J257" s="56" t="n"/>
      <c r="K257" s="55" t="n"/>
      <c r="L257" s="56" t="n"/>
      <c r="M257" s="56" t="n"/>
      <c r="N257" s="47" t="n"/>
      <c r="O257" s="47" t="n"/>
    </row>
    <row r="258" ht="15" customHeight="1" s="42">
      <c r="A258" s="57" t="n">
        <v>255</v>
      </c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7" t="n"/>
      <c r="L258" s="57" t="n"/>
      <c r="M258" s="57" t="n"/>
      <c r="N258" s="58" t="n"/>
      <c r="O258" s="58" t="n"/>
    </row>
    <row r="259" ht="15" customHeight="1" s="42">
      <c r="A259" s="56" t="n">
        <v>256</v>
      </c>
      <c r="B259" s="56" t="n"/>
      <c r="C259" s="56" t="n"/>
      <c r="D259" s="56" t="n"/>
      <c r="E259" s="56" t="n"/>
      <c r="F259" s="56" t="n"/>
      <c r="G259" s="56" t="n"/>
      <c r="H259" s="56" t="n"/>
      <c r="I259" s="56" t="n"/>
      <c r="J259" s="56" t="n"/>
      <c r="K259" s="55" t="n"/>
      <c r="L259" s="56" t="n"/>
      <c r="M259" s="56" t="n"/>
      <c r="N259" s="47" t="n"/>
      <c r="O259" s="47" t="n"/>
    </row>
    <row r="260" ht="15" customHeight="1" s="42">
      <c r="A260" s="57" t="n">
        <v>257</v>
      </c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7" t="n"/>
      <c r="L260" s="57" t="n"/>
      <c r="M260" s="57" t="n"/>
      <c r="N260" s="58" t="n"/>
      <c r="O260" s="58" t="n"/>
    </row>
    <row r="261" ht="15" customHeight="1" s="42">
      <c r="A261" s="56" t="n">
        <v>258</v>
      </c>
      <c r="B261" s="56" t="n"/>
      <c r="C261" s="56" t="n"/>
      <c r="D261" s="56" t="n"/>
      <c r="E261" s="56" t="n"/>
      <c r="F261" s="56" t="n"/>
      <c r="G261" s="56" t="n"/>
      <c r="H261" s="56" t="n"/>
      <c r="I261" s="56" t="n"/>
      <c r="J261" s="56" t="n"/>
      <c r="K261" s="55" t="n"/>
      <c r="L261" s="56" t="n"/>
      <c r="M261" s="56" t="n"/>
      <c r="N261" s="47" t="n"/>
      <c r="O261" s="47" t="n"/>
    </row>
    <row r="262" ht="15" customHeight="1" s="42">
      <c r="A262" s="57" t="n">
        <v>259</v>
      </c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7" t="n"/>
      <c r="L262" s="57" t="n"/>
      <c r="M262" s="57" t="n"/>
      <c r="N262" s="58" t="n"/>
      <c r="O262" s="58" t="n"/>
    </row>
    <row r="263" ht="15" customHeight="1" s="42">
      <c r="A263" s="56" t="n">
        <v>260</v>
      </c>
      <c r="B263" s="56" t="n"/>
      <c r="C263" s="56" t="n"/>
      <c r="D263" s="56" t="n"/>
      <c r="E263" s="56" t="n"/>
      <c r="F263" s="56" t="n"/>
      <c r="G263" s="56" t="n"/>
      <c r="H263" s="56" t="n"/>
      <c r="I263" s="56" t="n"/>
      <c r="J263" s="56" t="n"/>
      <c r="K263" s="55" t="n"/>
      <c r="L263" s="56" t="n"/>
      <c r="M263" s="56" t="n"/>
      <c r="N263" s="47" t="n"/>
      <c r="O263" s="47" t="n"/>
    </row>
    <row r="264" ht="15" customHeight="1" s="42">
      <c r="A264" s="57" t="n">
        <v>261</v>
      </c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7" t="n"/>
      <c r="L264" s="57" t="n"/>
      <c r="M264" s="57" t="n"/>
      <c r="N264" s="58" t="n"/>
      <c r="O264" s="58" t="n"/>
    </row>
    <row r="265" ht="15" customHeight="1" s="42">
      <c r="A265" s="56" t="n">
        <v>262</v>
      </c>
      <c r="B265" s="56" t="n"/>
      <c r="C265" s="56" t="n"/>
      <c r="D265" s="56" t="n"/>
      <c r="E265" s="56" t="n"/>
      <c r="F265" s="56" t="n"/>
      <c r="G265" s="56" t="n"/>
      <c r="H265" s="56" t="n"/>
      <c r="I265" s="56" t="n"/>
      <c r="J265" s="56" t="n"/>
      <c r="K265" s="55" t="n"/>
      <c r="L265" s="56" t="n"/>
      <c r="M265" s="56" t="n"/>
      <c r="N265" s="47" t="n"/>
      <c r="O265" s="47" t="n"/>
    </row>
    <row r="266" ht="15" customHeight="1" s="42">
      <c r="A266" s="57" t="n">
        <v>263</v>
      </c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7" t="n"/>
      <c r="L266" s="57" t="n"/>
      <c r="M266" s="57" t="n"/>
      <c r="N266" s="58" t="n"/>
      <c r="O266" s="58" t="n"/>
    </row>
    <row r="267" ht="15" customHeight="1" s="42">
      <c r="A267" s="56" t="n">
        <v>264</v>
      </c>
      <c r="B267" s="56" t="n"/>
      <c r="C267" s="56" t="n"/>
      <c r="D267" s="56" t="n"/>
      <c r="E267" s="56" t="n"/>
      <c r="F267" s="56" t="n"/>
      <c r="G267" s="56" t="n"/>
      <c r="H267" s="56" t="n"/>
      <c r="I267" s="56" t="n"/>
      <c r="J267" s="56" t="n"/>
      <c r="K267" s="55" t="n"/>
      <c r="L267" s="56" t="n"/>
      <c r="M267" s="56" t="n"/>
      <c r="N267" s="47" t="n"/>
      <c r="O267" s="47" t="n"/>
    </row>
    <row r="268" ht="15" customHeight="1" s="42">
      <c r="A268" s="57" t="n">
        <v>265</v>
      </c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7" t="n"/>
      <c r="L268" s="57" t="n"/>
      <c r="M268" s="57" t="n"/>
      <c r="N268" s="58" t="n"/>
      <c r="O268" s="58" t="n"/>
    </row>
    <row r="269" ht="15" customHeight="1" s="42">
      <c r="A269" s="56" t="n">
        <v>266</v>
      </c>
      <c r="B269" s="56" t="n"/>
      <c r="C269" s="56" t="n"/>
      <c r="D269" s="56" t="n"/>
      <c r="E269" s="56" t="n"/>
      <c r="F269" s="56" t="n"/>
      <c r="G269" s="56" t="n"/>
      <c r="H269" s="56" t="n"/>
      <c r="I269" s="56" t="n"/>
      <c r="J269" s="56" t="n"/>
      <c r="K269" s="55" t="n"/>
      <c r="L269" s="56" t="n"/>
      <c r="M269" s="56" t="n"/>
      <c r="N269" s="47" t="n"/>
      <c r="O269" s="47" t="n"/>
    </row>
    <row r="270" ht="15" customHeight="1" s="42">
      <c r="A270" s="57" t="n">
        <v>267</v>
      </c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7" t="n"/>
      <c r="L270" s="57" t="n"/>
      <c r="M270" s="57" t="n"/>
      <c r="N270" s="58" t="n"/>
      <c r="O270" s="58" t="n"/>
    </row>
    <row r="271" ht="15" customHeight="1" s="42">
      <c r="A271" s="56" t="n">
        <v>268</v>
      </c>
      <c r="B271" s="56" t="n"/>
      <c r="C271" s="56" t="n"/>
      <c r="D271" s="56" t="n"/>
      <c r="E271" s="56" t="n"/>
      <c r="F271" s="56" t="n"/>
      <c r="G271" s="56" t="n"/>
      <c r="H271" s="56" t="n"/>
      <c r="I271" s="56" t="n"/>
      <c r="J271" s="56" t="n"/>
      <c r="K271" s="55" t="n"/>
      <c r="L271" s="56" t="n"/>
      <c r="M271" s="56" t="n"/>
      <c r="N271" s="47" t="n"/>
      <c r="O271" s="47" t="n"/>
    </row>
    <row r="272" ht="15" customHeight="1" s="42">
      <c r="A272" s="57" t="n">
        <v>269</v>
      </c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7" t="n"/>
      <c r="L272" s="57" t="n"/>
      <c r="M272" s="57" t="n"/>
      <c r="N272" s="58" t="n"/>
      <c r="O272" s="58" t="n"/>
    </row>
    <row r="273" ht="15" customHeight="1" s="42">
      <c r="A273" s="56" t="n">
        <v>270</v>
      </c>
      <c r="B273" s="56" t="n"/>
      <c r="C273" s="56" t="n"/>
      <c r="D273" s="56" t="n"/>
      <c r="E273" s="56" t="n"/>
      <c r="F273" s="56" t="n"/>
      <c r="G273" s="56" t="n"/>
      <c r="H273" s="56" t="n"/>
      <c r="I273" s="56" t="n"/>
      <c r="J273" s="56" t="n"/>
      <c r="K273" s="55" t="n"/>
      <c r="L273" s="56" t="n"/>
      <c r="M273" s="56" t="n"/>
      <c r="N273" s="47" t="n"/>
      <c r="O273" s="47" t="n"/>
    </row>
    <row r="274" ht="15" customHeight="1" s="42">
      <c r="A274" s="57" t="n">
        <v>271</v>
      </c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7" t="n"/>
      <c r="L274" s="57" t="n"/>
      <c r="M274" s="57" t="n"/>
      <c r="N274" s="58" t="n"/>
      <c r="O274" s="58" t="n"/>
    </row>
    <row r="275" ht="15" customHeight="1" s="42">
      <c r="A275" s="56" t="n">
        <v>272</v>
      </c>
      <c r="B275" s="56" t="n"/>
      <c r="C275" s="56" t="n"/>
      <c r="D275" s="56" t="n"/>
      <c r="E275" s="56" t="n"/>
      <c r="F275" s="56" t="n"/>
      <c r="G275" s="56" t="n"/>
      <c r="H275" s="56" t="n"/>
      <c r="I275" s="56" t="n"/>
      <c r="J275" s="56" t="n"/>
      <c r="K275" s="55" t="n"/>
      <c r="L275" s="56" t="n"/>
      <c r="M275" s="56" t="n"/>
      <c r="N275" s="47" t="n"/>
      <c r="O275" s="47" t="n"/>
    </row>
    <row r="276" ht="15" customHeight="1" s="42">
      <c r="A276" s="57" t="n">
        <v>273</v>
      </c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7" t="n"/>
      <c r="L276" s="57" t="n"/>
      <c r="M276" s="57" t="n"/>
      <c r="N276" s="58" t="n"/>
      <c r="O276" s="58" t="n"/>
    </row>
    <row r="277" ht="15" customHeight="1" s="42">
      <c r="A277" s="56" t="n">
        <v>274</v>
      </c>
      <c r="B277" s="56" t="n"/>
      <c r="C277" s="56" t="n"/>
      <c r="D277" s="56" t="n"/>
      <c r="E277" s="56" t="n"/>
      <c r="F277" s="56" t="n"/>
      <c r="G277" s="56" t="n"/>
      <c r="H277" s="56" t="n"/>
      <c r="I277" s="56" t="n"/>
      <c r="J277" s="56" t="n"/>
      <c r="K277" s="55" t="n"/>
      <c r="L277" s="56" t="n"/>
      <c r="M277" s="56" t="n"/>
      <c r="N277" s="47" t="n"/>
      <c r="O277" s="47" t="n"/>
    </row>
    <row r="278" ht="15" customHeight="1" s="42">
      <c r="A278" s="57" t="n">
        <v>275</v>
      </c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7" t="n"/>
      <c r="L278" s="57" t="n"/>
      <c r="M278" s="57" t="n"/>
      <c r="N278" s="58" t="n"/>
      <c r="O278" s="58" t="n"/>
    </row>
    <row r="279" ht="15" customHeight="1" s="42">
      <c r="A279" s="56" t="n">
        <v>276</v>
      </c>
      <c r="B279" s="56" t="n"/>
      <c r="C279" s="56" t="n"/>
      <c r="D279" s="56" t="n"/>
      <c r="E279" s="56" t="n"/>
      <c r="F279" s="56" t="n"/>
      <c r="G279" s="56" t="n"/>
      <c r="H279" s="56" t="n"/>
      <c r="I279" s="56" t="n"/>
      <c r="J279" s="56" t="n"/>
      <c r="K279" s="55" t="n"/>
      <c r="L279" s="56" t="n"/>
      <c r="M279" s="56" t="n"/>
      <c r="N279" s="47" t="n"/>
      <c r="O279" s="47" t="n"/>
    </row>
    <row r="280" ht="15" customHeight="1" s="42">
      <c r="A280" s="57" t="n">
        <v>277</v>
      </c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7" t="n"/>
      <c r="L280" s="57" t="n"/>
      <c r="M280" s="57" t="n"/>
      <c r="N280" s="58" t="n"/>
      <c r="O280" s="58" t="n"/>
    </row>
    <row r="281" ht="15" customHeight="1" s="42">
      <c r="A281" s="56" t="n">
        <v>278</v>
      </c>
      <c r="B281" s="56" t="n"/>
      <c r="C281" s="56" t="n"/>
      <c r="D281" s="56" t="n"/>
      <c r="E281" s="56" t="n"/>
      <c r="F281" s="56" t="n"/>
      <c r="G281" s="56" t="n"/>
      <c r="H281" s="56" t="n"/>
      <c r="I281" s="56" t="n"/>
      <c r="J281" s="56" t="n"/>
      <c r="K281" s="55" t="n"/>
      <c r="L281" s="56" t="n"/>
      <c r="M281" s="56" t="n"/>
      <c r="N281" s="47" t="n"/>
      <c r="O281" s="47" t="n"/>
    </row>
    <row r="282" ht="15" customHeight="1" s="42">
      <c r="A282" s="57" t="n">
        <v>279</v>
      </c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7" t="n"/>
      <c r="L282" s="57" t="n"/>
      <c r="M282" s="57" t="n"/>
      <c r="N282" s="58" t="n"/>
      <c r="O282" s="58" t="n"/>
    </row>
    <row r="283" ht="15" customHeight="1" s="42">
      <c r="A283" s="56" t="n">
        <v>280</v>
      </c>
      <c r="B283" s="56" t="n"/>
      <c r="C283" s="56" t="n"/>
      <c r="D283" s="56" t="n"/>
      <c r="E283" s="56" t="n"/>
      <c r="F283" s="56" t="n"/>
      <c r="G283" s="56" t="n"/>
      <c r="H283" s="56" t="n"/>
      <c r="I283" s="56" t="n"/>
      <c r="J283" s="56" t="n"/>
      <c r="K283" s="55" t="n"/>
      <c r="L283" s="56" t="n"/>
      <c r="M283" s="56" t="n"/>
      <c r="N283" s="47" t="n"/>
      <c r="O283" s="47" t="n"/>
    </row>
    <row r="284" ht="15" customHeight="1" s="42">
      <c r="A284" s="57" t="n">
        <v>281</v>
      </c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7" t="n"/>
      <c r="L284" s="57" t="n"/>
      <c r="M284" s="57" t="n"/>
      <c r="N284" s="58" t="n"/>
      <c r="O284" s="58" t="n"/>
    </row>
    <row r="285" ht="15" customHeight="1" s="42">
      <c r="A285" s="56" t="n">
        <v>282</v>
      </c>
      <c r="B285" s="56" t="n"/>
      <c r="C285" s="56" t="n"/>
      <c r="D285" s="56" t="n"/>
      <c r="E285" s="56" t="n"/>
      <c r="F285" s="56" t="n"/>
      <c r="G285" s="56" t="n"/>
      <c r="H285" s="56" t="n"/>
      <c r="I285" s="56" t="n"/>
      <c r="J285" s="56" t="n"/>
      <c r="K285" s="55" t="n"/>
      <c r="L285" s="56" t="n"/>
      <c r="M285" s="56" t="n"/>
      <c r="N285" s="47" t="n"/>
      <c r="O285" s="47" t="n"/>
    </row>
    <row r="286" ht="15" customHeight="1" s="42">
      <c r="A286" s="57" t="n">
        <v>283</v>
      </c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7" t="n"/>
      <c r="L286" s="57" t="n"/>
      <c r="M286" s="57" t="n"/>
      <c r="N286" s="58" t="n"/>
      <c r="O286" s="58" t="n"/>
    </row>
    <row r="287" ht="15" customHeight="1" s="42">
      <c r="A287" s="56" t="n">
        <v>284</v>
      </c>
      <c r="B287" s="56" t="n"/>
      <c r="C287" s="56" t="n"/>
      <c r="D287" s="56" t="n"/>
      <c r="E287" s="56" t="n"/>
      <c r="F287" s="56" t="n"/>
      <c r="G287" s="56" t="n"/>
      <c r="H287" s="56" t="n"/>
      <c r="I287" s="56" t="n"/>
      <c r="J287" s="56" t="n"/>
      <c r="K287" s="55" t="n"/>
      <c r="L287" s="56" t="n"/>
      <c r="M287" s="56" t="n"/>
      <c r="N287" s="47" t="n"/>
      <c r="O287" s="47" t="n"/>
    </row>
    <row r="288" ht="15" customHeight="1" s="42">
      <c r="A288" s="57" t="n">
        <v>285</v>
      </c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7" t="n"/>
      <c r="L288" s="57" t="n"/>
      <c r="M288" s="57" t="n"/>
      <c r="N288" s="58" t="n"/>
      <c r="O288" s="58" t="n"/>
    </row>
    <row r="289" ht="15" customHeight="1" s="42">
      <c r="A289" s="56" t="n">
        <v>286</v>
      </c>
      <c r="B289" s="56" t="n"/>
      <c r="C289" s="56" t="n"/>
      <c r="D289" s="56" t="n"/>
      <c r="E289" s="56" t="n"/>
      <c r="F289" s="56" t="n"/>
      <c r="G289" s="56" t="n"/>
      <c r="H289" s="56" t="n"/>
      <c r="I289" s="56" t="n"/>
      <c r="J289" s="56" t="n"/>
      <c r="K289" s="55" t="n"/>
      <c r="L289" s="56" t="n"/>
      <c r="M289" s="56" t="n"/>
      <c r="N289" s="47" t="n"/>
      <c r="O289" s="47" t="n"/>
    </row>
    <row r="290" ht="15" customHeight="1" s="42">
      <c r="A290" s="57" t="n">
        <v>287</v>
      </c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7" t="n"/>
      <c r="L290" s="57" t="n"/>
      <c r="M290" s="57" t="n"/>
      <c r="N290" s="58" t="n"/>
      <c r="O290" s="58" t="n"/>
    </row>
    <row r="291" ht="15" customHeight="1" s="42">
      <c r="A291" s="56" t="n">
        <v>288</v>
      </c>
      <c r="B291" s="56" t="n"/>
      <c r="C291" s="56" t="n"/>
      <c r="D291" s="56" t="n"/>
      <c r="E291" s="56" t="n"/>
      <c r="F291" s="56" t="n"/>
      <c r="G291" s="56" t="n"/>
      <c r="H291" s="56" t="n"/>
      <c r="I291" s="56" t="n"/>
      <c r="J291" s="56" t="n"/>
      <c r="K291" s="55" t="n"/>
      <c r="L291" s="56" t="n"/>
      <c r="M291" s="56" t="n"/>
      <c r="N291" s="47" t="n"/>
      <c r="O291" s="47" t="n"/>
    </row>
    <row r="292" ht="15" customHeight="1" s="42">
      <c r="A292" s="57" t="n">
        <v>289</v>
      </c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7" t="n"/>
      <c r="L292" s="57" t="n"/>
      <c r="M292" s="57" t="n"/>
      <c r="N292" s="58" t="n"/>
      <c r="O292" s="58" t="n"/>
    </row>
    <row r="293" ht="15" customHeight="1" s="42">
      <c r="A293" s="56" t="n">
        <v>290</v>
      </c>
      <c r="B293" s="56" t="n"/>
      <c r="C293" s="56" t="n"/>
      <c r="D293" s="56" t="n"/>
      <c r="E293" s="56" t="n"/>
      <c r="F293" s="56" t="n"/>
      <c r="G293" s="56" t="n"/>
      <c r="H293" s="56" t="n"/>
      <c r="I293" s="56" t="n"/>
      <c r="J293" s="56" t="n"/>
      <c r="K293" s="55" t="n"/>
      <c r="L293" s="56" t="n"/>
      <c r="M293" s="56" t="n"/>
      <c r="N293" s="47" t="n"/>
      <c r="O293" s="47" t="n"/>
    </row>
    <row r="294" ht="15" customHeight="1" s="42">
      <c r="A294" s="57" t="n">
        <v>291</v>
      </c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7" t="n"/>
      <c r="L294" s="57" t="n"/>
      <c r="M294" s="57" t="n"/>
      <c r="N294" s="58" t="n"/>
      <c r="O294" s="58" t="n"/>
    </row>
    <row r="295" ht="15" customHeight="1" s="42">
      <c r="A295" s="56" t="n">
        <v>292</v>
      </c>
      <c r="B295" s="56" t="n"/>
      <c r="C295" s="56" t="n"/>
      <c r="D295" s="56" t="n"/>
      <c r="E295" s="56" t="n"/>
      <c r="F295" s="56" t="n"/>
      <c r="G295" s="56" t="n"/>
      <c r="H295" s="56" t="n"/>
      <c r="I295" s="56" t="n"/>
      <c r="J295" s="56" t="n"/>
      <c r="K295" s="55" t="n"/>
      <c r="L295" s="56" t="n"/>
      <c r="M295" s="56" t="n"/>
      <c r="N295" s="47" t="n"/>
      <c r="O295" s="47" t="n"/>
    </row>
    <row r="296" ht="15" customHeight="1" s="42">
      <c r="A296" s="57" t="n">
        <v>293</v>
      </c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7" t="n"/>
      <c r="L296" s="57" t="n"/>
      <c r="M296" s="57" t="n"/>
      <c r="N296" s="58" t="n"/>
      <c r="O296" s="58" t="n"/>
    </row>
    <row r="297" ht="15" customHeight="1" s="42">
      <c r="A297" s="56" t="n">
        <v>294</v>
      </c>
      <c r="B297" s="56" t="n"/>
      <c r="C297" s="56" t="n"/>
      <c r="D297" s="56" t="n"/>
      <c r="E297" s="56" t="n"/>
      <c r="F297" s="56" t="n"/>
      <c r="G297" s="56" t="n"/>
      <c r="H297" s="56" t="n"/>
      <c r="I297" s="56" t="n"/>
      <c r="J297" s="56" t="n"/>
      <c r="K297" s="55" t="n"/>
      <c r="L297" s="56" t="n"/>
      <c r="M297" s="56" t="n"/>
      <c r="N297" s="47" t="n"/>
      <c r="O297" s="47" t="n"/>
    </row>
    <row r="298" ht="15" customHeight="1" s="42">
      <c r="A298" s="57" t="n">
        <v>295</v>
      </c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7" t="n"/>
      <c r="L298" s="57" t="n"/>
      <c r="M298" s="57" t="n"/>
      <c r="N298" s="58" t="n"/>
      <c r="O298" s="58" t="n"/>
    </row>
    <row r="299" ht="15" customHeight="1" s="42">
      <c r="A299" s="56" t="n">
        <v>296</v>
      </c>
      <c r="B299" s="56" t="n"/>
      <c r="C299" s="56" t="n"/>
      <c r="D299" s="56" t="n"/>
      <c r="E299" s="56" t="n"/>
      <c r="F299" s="56" t="n"/>
      <c r="G299" s="56" t="n"/>
      <c r="H299" s="56" t="n"/>
      <c r="I299" s="56" t="n"/>
      <c r="J299" s="56" t="n"/>
      <c r="K299" s="55" t="n"/>
      <c r="L299" s="56" t="n"/>
      <c r="M299" s="56" t="n"/>
      <c r="N299" s="47" t="n"/>
      <c r="O299" s="47" t="n"/>
    </row>
    <row r="300" ht="15" customHeight="1" s="42">
      <c r="A300" s="57" t="n">
        <v>297</v>
      </c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7" t="n"/>
      <c r="L300" s="57" t="n"/>
      <c r="M300" s="57" t="n"/>
      <c r="N300" s="58" t="n"/>
      <c r="O300" s="58" t="n"/>
    </row>
    <row r="301" ht="15" customHeight="1" s="42">
      <c r="A301" s="56" t="n">
        <v>298</v>
      </c>
      <c r="B301" s="56" t="n"/>
      <c r="C301" s="56" t="n"/>
      <c r="D301" s="56" t="n"/>
      <c r="E301" s="56" t="n"/>
      <c r="F301" s="56" t="n"/>
      <c r="G301" s="56" t="n"/>
      <c r="H301" s="56" t="n"/>
      <c r="I301" s="56" t="n"/>
      <c r="J301" s="56" t="n"/>
      <c r="K301" s="55" t="n"/>
      <c r="L301" s="56" t="n"/>
      <c r="M301" s="56" t="n"/>
      <c r="N301" s="47" t="n"/>
      <c r="O301" s="47" t="n"/>
    </row>
    <row r="302" ht="15" customHeight="1" s="42">
      <c r="A302" s="57" t="n">
        <v>299</v>
      </c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7" t="n"/>
      <c r="L302" s="57" t="n"/>
      <c r="M302" s="57" t="n"/>
      <c r="N302" s="58" t="n"/>
      <c r="O302" s="58" t="n"/>
    </row>
    <row r="303" ht="15" customHeight="1" s="42">
      <c r="A303" s="56" t="n">
        <v>300</v>
      </c>
      <c r="B303" s="56" t="n"/>
      <c r="C303" s="56" t="n"/>
      <c r="D303" s="56" t="n"/>
      <c r="E303" s="56" t="n"/>
      <c r="F303" s="56" t="n"/>
      <c r="G303" s="56" t="n"/>
      <c r="H303" s="56" t="n"/>
      <c r="I303" s="56" t="n"/>
      <c r="J303" s="56" t="n"/>
      <c r="K303" s="55" t="n"/>
      <c r="L303" s="56" t="n"/>
      <c r="M303" s="56" t="n"/>
      <c r="N303" s="47" t="n"/>
      <c r="O303" s="47" t="n"/>
    </row>
    <row r="305" ht="16.5" customHeight="1" s="42">
      <c r="A305" s="45" t="inlineStr">
        <is>
          <t>📊 등급별 집계</t>
        </is>
      </c>
    </row>
    <row r="306" ht="15" customHeight="1" s="42">
      <c r="A306" s="59" t="inlineStr">
        <is>
          <t>A급</t>
        </is>
      </c>
      <c r="B306" s="56">
        <f>COUNTIF(K4:K303,"A")</f>
        <v/>
      </c>
      <c r="C306" s="59" t="inlineStr">
        <is>
          <t>B급</t>
        </is>
      </c>
      <c r="D306" s="56">
        <f>COUNTIF(K4:K303,"B")</f>
        <v/>
      </c>
      <c r="E306" s="59" t="inlineStr">
        <is>
          <t>C급</t>
        </is>
      </c>
      <c r="F306" s="56">
        <f>COUNTIF(K4:K303,"C")</f>
        <v/>
      </c>
      <c r="G306" s="60" t="inlineStr">
        <is>
          <t>전체</t>
        </is>
      </c>
      <c r="H306" s="56">
        <f>COUNTA(B4:B303)</f>
        <v/>
      </c>
    </row>
  </sheetData>
  <autoFilter ref="A3:O303"/>
  <mergeCells count="3">
    <mergeCell ref="A1:O1"/>
    <mergeCell ref="A305:D305"/>
    <mergeCell ref="A2:O2"/>
  </mergeCells>
  <conditionalFormatting sqref="K4:K303">
    <cfRule type="cellIs" rank="0" priority="2" equalAverage="0" operator="equal" aboveAverage="0" dxfId="7" text="" percent="0" bottom="0">
      <formula>"A"</formula>
    </cfRule>
    <cfRule type="cellIs" rank="0" priority="3" equalAverage="0" operator="equal" aboveAverage="0" dxfId="8" text="" percent="0" bottom="0">
      <formula>"B"</formula>
    </cfRule>
    <cfRule type="cellIs" rank="0" priority="4" equalAverage="0" operator="equal" aboveAverage="0" dxfId="9" text="" percent="0" bottom="0">
      <formula>"C"</formula>
    </cfRule>
  </conditionalFormatting>
  <dataValidations count="1">
    <dataValidation sqref="K4:K303" showDropDown="0" showInputMessage="0" showErrorMessage="0" allowBlank="1" type="list" errorStyle="stop" operator="between">
      <formula1>"A,B,C"</formula1>
      <formula2>0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P1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3" activeCellId="0" sqref="H3"/>
    </sheetView>
  </sheetViews>
  <sheetFormatPr baseColWidth="8" defaultColWidth="8.71484375" defaultRowHeight="15" zeroHeight="0" outlineLevelRow="0"/>
  <cols>
    <col width="5" customWidth="1" style="41" min="1" max="1"/>
    <col width="10" customWidth="1" style="41" min="2" max="3"/>
    <col width="14" customWidth="1" style="41" min="4" max="4"/>
    <col width="12" customWidth="1" style="41" min="5" max="5"/>
    <col width="14" customWidth="1" style="41" min="6" max="6"/>
    <col width="16" customWidth="1" style="41" min="7" max="7"/>
    <col width="14.86" customWidth="1" style="41" min="8" max="8"/>
    <col width="14" customWidth="1" style="41" min="9" max="9"/>
    <col width="11" customWidth="1" style="41" min="10" max="10"/>
    <col width="14" customWidth="1" style="41" min="11" max="11"/>
    <col width="13" customWidth="1" style="41" min="12" max="12"/>
    <col width="16" customWidth="1" style="41" min="13" max="13"/>
    <col width="10" customWidth="1" style="41" min="14" max="15"/>
    <col width="22" customWidth="1" style="41" min="16" max="16"/>
  </cols>
  <sheetData>
    <row r="1" ht="36" customHeight="1" s="42">
      <c r="A1" s="43" t="inlineStr">
        <is>
          <t>생명수 · 월간 가망고객 리스트</t>
        </is>
      </c>
    </row>
    <row r="2" ht="21.75" customHeight="1" s="42">
      <c r="A2" s="51" t="inlineStr">
        <is>
          <t>📌 매월 마지막 이틀에 작성 → 3장 출력 (차/플래너/주머니). 만나야 할 사람 = 누적 관리. 못 만난 사람은 다음달 이월</t>
        </is>
      </c>
    </row>
    <row r="3" ht="21.75" customHeight="1" s="42">
      <c r="A3" s="60" t="inlineStr">
        <is>
          <t>해당 월</t>
        </is>
      </c>
      <c r="B3" s="55" t="inlineStr">
        <is>
          <t>2026년 5월</t>
        </is>
      </c>
      <c r="D3" s="60" t="inlineStr">
        <is>
          <t>작성자</t>
        </is>
      </c>
      <c r="E3" s="61" t="n"/>
      <c r="G3" s="60" t="inlineStr">
        <is>
          <t>센터</t>
        </is>
      </c>
      <c r="H3" s="56" t="inlineStr">
        <is>
          <t>강남3센터</t>
        </is>
      </c>
    </row>
    <row r="4" ht="30" customHeight="1" s="42">
      <c r="A4" s="52" t="inlineStr">
        <is>
          <t>No.</t>
        </is>
      </c>
      <c r="B4" s="53" t="inlineStr">
        <is>
          <t>구분</t>
        </is>
      </c>
      <c r="C4" s="53" t="inlineStr">
        <is>
          <t>이름</t>
        </is>
      </c>
      <c r="D4" s="53" t="inlineStr">
        <is>
          <t>연락처</t>
        </is>
      </c>
      <c r="E4" s="53" t="inlineStr">
        <is>
          <t>지역</t>
        </is>
      </c>
      <c r="F4" s="53" t="inlineStr">
        <is>
          <t>관계/직업</t>
        </is>
      </c>
      <c r="G4" s="53" t="inlineStr">
        <is>
          <t>예상상품</t>
        </is>
      </c>
      <c r="H4" s="52" t="inlineStr">
        <is>
          <t>1차 시도</t>
        </is>
      </c>
      <c r="I4" s="53" t="inlineStr">
        <is>
          <t>결과</t>
        </is>
      </c>
      <c r="J4" s="52" t="inlineStr">
        <is>
          <t>2차 시도</t>
        </is>
      </c>
      <c r="K4" s="53" t="inlineStr">
        <is>
          <t>결과</t>
        </is>
      </c>
      <c r="L4" s="53" t="inlineStr">
        <is>
          <t>미팅 확정일</t>
        </is>
      </c>
      <c r="M4" s="53" t="inlineStr">
        <is>
          <t>결과(계약/거절/유보)</t>
        </is>
      </c>
      <c r="N4" s="53" t="inlineStr">
        <is>
          <t>다음달 이월</t>
        </is>
      </c>
      <c r="O4" s="53" t="inlineStr">
        <is>
          <t>소개 발생</t>
        </is>
      </c>
      <c r="P4" s="53" t="inlineStr">
        <is>
          <t>비고</t>
        </is>
      </c>
    </row>
    <row r="5" ht="23.85" customHeight="1" s="42">
      <c r="A5" s="56" t="n">
        <v>1</v>
      </c>
      <c r="B5" s="56" t="inlineStr">
        <is>
          <t>기존고객</t>
        </is>
      </c>
      <c r="C5" s="56" t="inlineStr">
        <is>
          <t>김매트</t>
        </is>
      </c>
      <c r="D5" s="55" t="inlineStr">
        <is>
          <t>010-1234-5678</t>
        </is>
      </c>
      <c r="E5" s="56" t="inlineStr">
        <is>
          <t>수원 영통</t>
        </is>
      </c>
      <c r="F5" s="56" t="inlineStr">
        <is>
          <t>동기/차장</t>
        </is>
      </c>
      <c r="G5" s="56" t="inlineStr">
        <is>
          <t>정기 안부</t>
        </is>
      </c>
      <c r="H5" s="55" t="inlineStr">
        <is>
          <t>5/3 전화</t>
        </is>
      </c>
      <c r="I5" s="56" t="inlineStr">
        <is>
          <t>통화O</t>
        </is>
      </c>
      <c r="J5" s="56" t="n"/>
      <c r="K5" s="56" t="n"/>
      <c r="L5" s="55" t="inlineStr">
        <is>
          <t>5/12 12:00</t>
        </is>
      </c>
      <c r="M5" s="56" t="inlineStr">
        <is>
          <t>유보</t>
        </is>
      </c>
      <c r="N5" s="55" t="n"/>
      <c r="O5" s="55" t="inlineStr">
        <is>
          <t>Y</t>
        </is>
      </c>
      <c r="P5" s="55" t="inlineStr">
        <is>
          <t>5월 둘째주 점심 약속</t>
        </is>
      </c>
    </row>
    <row r="6" ht="15" customHeight="1" s="42">
      <c r="A6" s="56" t="n">
        <v>2</v>
      </c>
      <c r="B6" s="56" t="n"/>
      <c r="C6" s="56" t="n"/>
      <c r="D6" s="56" t="n"/>
      <c r="E6" s="56" t="n"/>
      <c r="F6" s="56" t="n"/>
      <c r="G6" s="56" t="n"/>
      <c r="H6" s="56" t="n"/>
      <c r="I6" s="56" t="n"/>
      <c r="J6" s="56" t="n"/>
      <c r="K6" s="56" t="n"/>
      <c r="L6" s="56" t="n"/>
      <c r="M6" s="56" t="n"/>
      <c r="N6" s="55" t="n"/>
      <c r="O6" s="55" t="n"/>
      <c r="P6" s="56" t="n"/>
    </row>
    <row r="7" ht="15" customHeight="1" s="42">
      <c r="A7" s="57" t="n">
        <v>3</v>
      </c>
      <c r="B7" s="57" t="n"/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</row>
    <row r="8" ht="15" customHeight="1" s="42">
      <c r="A8" s="56" t="n">
        <v>4</v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5" t="n"/>
      <c r="O8" s="55" t="n"/>
      <c r="P8" s="56" t="n"/>
    </row>
    <row r="9" ht="15" customHeight="1" s="42">
      <c r="A9" s="57" t="n">
        <v>5</v>
      </c>
      <c r="B9" s="57" t="n"/>
      <c r="C9" s="57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</row>
    <row r="10" ht="15" customHeight="1" s="42">
      <c r="A10" s="56" t="n">
        <v>6</v>
      </c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5" t="n"/>
      <c r="O10" s="55" t="n"/>
      <c r="P10" s="56" t="n"/>
    </row>
    <row r="11" ht="15" customHeight="1" s="42">
      <c r="A11" s="57" t="n">
        <v>7</v>
      </c>
      <c r="B11" s="57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</row>
    <row r="12" ht="15" customHeight="1" s="42">
      <c r="A12" s="56" t="n">
        <v>8</v>
      </c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5" t="n"/>
      <c r="O12" s="55" t="n"/>
      <c r="P12" s="56" t="n"/>
    </row>
    <row r="13" ht="15" customHeight="1" s="42">
      <c r="A13" s="57" t="n">
        <v>9</v>
      </c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</row>
    <row r="14" ht="15" customHeight="1" s="42">
      <c r="A14" s="56" t="n">
        <v>10</v>
      </c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5" t="n"/>
      <c r="O14" s="55" t="n"/>
      <c r="P14" s="56" t="n"/>
    </row>
    <row r="15" ht="15" customHeight="1" s="42">
      <c r="A15" s="57" t="n">
        <v>11</v>
      </c>
      <c r="B15" s="57" t="n"/>
      <c r="C15" s="57" t="n"/>
      <c r="D15" s="57" t="n"/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</row>
    <row r="16" ht="15" customHeight="1" s="42">
      <c r="A16" s="56" t="n">
        <v>12</v>
      </c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5" t="n"/>
      <c r="O16" s="55" t="n"/>
      <c r="P16" s="56" t="n"/>
    </row>
    <row r="17" ht="15" customHeight="1" s="42">
      <c r="A17" s="57" t="n">
        <v>13</v>
      </c>
      <c r="B17" s="57" t="n"/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</row>
    <row r="18" ht="15" customHeight="1" s="42">
      <c r="A18" s="56" t="n">
        <v>14</v>
      </c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5" t="n"/>
      <c r="O18" s="55" t="n"/>
      <c r="P18" s="56" t="n"/>
    </row>
    <row r="19" ht="15" customHeight="1" s="42">
      <c r="A19" s="57" t="n">
        <v>15</v>
      </c>
      <c r="B19" s="57" t="n"/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</row>
    <row r="20" ht="15" customHeight="1" s="42">
      <c r="A20" s="56" t="n">
        <v>16</v>
      </c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5" t="n"/>
      <c r="O20" s="55" t="n"/>
      <c r="P20" s="56" t="n"/>
    </row>
    <row r="21" ht="15" customHeight="1" s="42">
      <c r="A21" s="57" t="n">
        <v>17</v>
      </c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</row>
    <row r="22" ht="15" customHeight="1" s="42">
      <c r="A22" s="56" t="n">
        <v>18</v>
      </c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5" t="n"/>
      <c r="O22" s="55" t="n"/>
      <c r="P22" s="56" t="n"/>
    </row>
    <row r="23" ht="15" customHeight="1" s="42">
      <c r="A23" s="57" t="n">
        <v>19</v>
      </c>
      <c r="B23" s="57" t="n"/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</row>
    <row r="24" ht="15" customHeight="1" s="42">
      <c r="A24" s="56" t="n">
        <v>20</v>
      </c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5" t="n"/>
      <c r="O24" s="55" t="n"/>
      <c r="P24" s="56" t="n"/>
    </row>
    <row r="25" ht="15" customHeight="1" s="42">
      <c r="A25" s="57" t="n">
        <v>21</v>
      </c>
      <c r="B25" s="57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</row>
    <row r="26" ht="15" customHeight="1" s="42">
      <c r="A26" s="56" t="n">
        <v>22</v>
      </c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5" t="n"/>
      <c r="O26" s="55" t="n"/>
      <c r="P26" s="56" t="n"/>
    </row>
    <row r="27" ht="15" customHeight="1" s="42">
      <c r="A27" s="57" t="n">
        <v>23</v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</row>
    <row r="28" ht="15" customHeight="1" s="42">
      <c r="A28" s="56" t="n">
        <v>24</v>
      </c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5" t="n"/>
      <c r="O28" s="55" t="n"/>
      <c r="P28" s="56" t="n"/>
    </row>
    <row r="29" ht="15" customHeight="1" s="42">
      <c r="A29" s="57" t="n">
        <v>25</v>
      </c>
      <c r="B29" s="57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</row>
    <row r="30" ht="15" customHeight="1" s="42">
      <c r="A30" s="56" t="n">
        <v>26</v>
      </c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5" t="n"/>
      <c r="O30" s="55" t="n"/>
      <c r="P30" s="56" t="n"/>
    </row>
    <row r="31" ht="15" customHeight="1" s="42">
      <c r="A31" s="57" t="n">
        <v>27</v>
      </c>
      <c r="B31" s="57" t="n"/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</row>
    <row r="32" ht="15" customHeight="1" s="42">
      <c r="A32" s="56" t="n">
        <v>28</v>
      </c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5" t="n"/>
      <c r="O32" s="55" t="n"/>
      <c r="P32" s="56" t="n"/>
    </row>
    <row r="33" ht="15" customHeight="1" s="42">
      <c r="A33" s="57" t="n">
        <v>29</v>
      </c>
      <c r="B33" s="57" t="n"/>
      <c r="C33" s="57" t="n"/>
      <c r="D33" s="57" t="n"/>
      <c r="E33" s="57" t="n"/>
      <c r="F33" s="57" t="n"/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</row>
    <row r="34" ht="15" customHeight="1" s="42">
      <c r="A34" s="56" t="n">
        <v>30</v>
      </c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5" t="n"/>
      <c r="O34" s="55" t="n"/>
      <c r="P34" s="56" t="n"/>
    </row>
    <row r="35" ht="15" customHeight="1" s="42">
      <c r="A35" s="57" t="n">
        <v>31</v>
      </c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</row>
    <row r="36" ht="15" customHeight="1" s="42">
      <c r="A36" s="56" t="n">
        <v>32</v>
      </c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5" t="n"/>
      <c r="O36" s="55" t="n"/>
      <c r="P36" s="56" t="n"/>
    </row>
    <row r="37" ht="15" customHeight="1" s="42">
      <c r="A37" s="57" t="n">
        <v>33</v>
      </c>
      <c r="B37" s="57" t="n"/>
      <c r="C37" s="57" t="n"/>
      <c r="D37" s="57" t="n"/>
      <c r="E37" s="57" t="n"/>
      <c r="F37" s="57" t="n"/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</row>
    <row r="38" ht="15" customHeight="1" s="42">
      <c r="A38" s="56" t="n">
        <v>34</v>
      </c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5" t="n"/>
      <c r="O38" s="55" t="n"/>
      <c r="P38" s="56" t="n"/>
    </row>
    <row r="39" ht="15" customHeight="1" s="42">
      <c r="A39" s="57" t="n">
        <v>35</v>
      </c>
      <c r="B39" s="57" t="n"/>
      <c r="C39" s="57" t="n"/>
      <c r="D39" s="57" t="n"/>
      <c r="E39" s="57" t="n"/>
      <c r="F39" s="57" t="n"/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  <c r="P39" s="57" t="n"/>
    </row>
    <row r="40" ht="15" customHeight="1" s="42">
      <c r="A40" s="56" t="n">
        <v>36</v>
      </c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5" t="n"/>
      <c r="O40" s="55" t="n"/>
      <c r="P40" s="56" t="n"/>
    </row>
    <row r="41" ht="15" customHeight="1" s="42">
      <c r="A41" s="57" t="n">
        <v>37</v>
      </c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</row>
    <row r="42" ht="15" customHeight="1" s="42">
      <c r="A42" s="56" t="n">
        <v>38</v>
      </c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5" t="n"/>
      <c r="O42" s="55" t="n"/>
      <c r="P42" s="56" t="n"/>
    </row>
    <row r="43" ht="15" customHeight="1" s="42">
      <c r="A43" s="57" t="n">
        <v>39</v>
      </c>
      <c r="B43" s="57" t="n"/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</row>
    <row r="44" ht="15" customHeight="1" s="42">
      <c r="A44" s="56" t="n">
        <v>40</v>
      </c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5" t="n"/>
      <c r="O44" s="55" t="n"/>
      <c r="P44" s="56" t="n"/>
    </row>
    <row r="45" ht="15" customHeight="1" s="42">
      <c r="A45" s="57" t="n">
        <v>41</v>
      </c>
      <c r="B45" s="57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</row>
    <row r="46" ht="15" customHeight="1" s="42">
      <c r="A46" s="56" t="n">
        <v>42</v>
      </c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5" t="n"/>
      <c r="O46" s="55" t="n"/>
      <c r="P46" s="56" t="n"/>
    </row>
    <row r="47" ht="15" customHeight="1" s="42">
      <c r="A47" s="57" t="n">
        <v>43</v>
      </c>
      <c r="B47" s="57" t="n"/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</row>
    <row r="48" ht="15" customHeight="1" s="42">
      <c r="A48" s="56" t="n">
        <v>44</v>
      </c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5" t="n"/>
      <c r="O48" s="55" t="n"/>
      <c r="P48" s="56" t="n"/>
    </row>
    <row r="49" ht="15" customHeight="1" s="42">
      <c r="A49" s="57" t="n">
        <v>45</v>
      </c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</row>
    <row r="50" ht="15" customHeight="1" s="42">
      <c r="A50" s="56" t="n">
        <v>46</v>
      </c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5" t="n"/>
      <c r="O50" s="55" t="n"/>
      <c r="P50" s="56" t="n"/>
    </row>
    <row r="51" ht="15" customHeight="1" s="42">
      <c r="A51" s="57" t="n">
        <v>47</v>
      </c>
      <c r="B51" s="57" t="n"/>
      <c r="C51" s="57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</row>
    <row r="52" ht="15" customHeight="1" s="42">
      <c r="A52" s="56" t="n">
        <v>48</v>
      </c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5" t="n"/>
      <c r="O52" s="55" t="n"/>
      <c r="P52" s="56" t="n"/>
    </row>
    <row r="53" ht="15" customHeight="1" s="42">
      <c r="A53" s="57" t="n">
        <v>49</v>
      </c>
      <c r="B53" s="57" t="n"/>
      <c r="C53" s="57" t="n"/>
      <c r="D53" s="57" t="n"/>
      <c r="E53" s="57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</row>
    <row r="54" ht="15" customHeight="1" s="42">
      <c r="A54" s="56" t="n">
        <v>50</v>
      </c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5" t="n"/>
      <c r="O54" s="55" t="n"/>
      <c r="P54" s="56" t="n"/>
    </row>
    <row r="55" ht="15" customHeight="1" s="42">
      <c r="A55" s="57" t="n">
        <v>51</v>
      </c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</row>
    <row r="56" ht="15" customHeight="1" s="42">
      <c r="A56" s="56" t="n">
        <v>52</v>
      </c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5" t="n"/>
      <c r="O56" s="55" t="n"/>
      <c r="P56" s="56" t="n"/>
    </row>
    <row r="57" ht="15" customHeight="1" s="42">
      <c r="A57" s="57" t="n">
        <v>53</v>
      </c>
      <c r="B57" s="57" t="n"/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</row>
    <row r="58" ht="15" customHeight="1" s="42">
      <c r="A58" s="56" t="n">
        <v>54</v>
      </c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5" t="n"/>
      <c r="O58" s="55" t="n"/>
      <c r="P58" s="56" t="n"/>
    </row>
    <row r="59" ht="15" customHeight="1" s="42">
      <c r="A59" s="57" t="n">
        <v>55</v>
      </c>
      <c r="B59" s="57" t="n"/>
      <c r="C59" s="57" t="n"/>
      <c r="D59" s="57" t="n"/>
      <c r="E59" s="57" t="n"/>
      <c r="F59" s="57" t="n"/>
      <c r="G59" s="57" t="n"/>
      <c r="H59" s="57" t="n"/>
      <c r="I59" s="57" t="n"/>
      <c r="J59" s="57" t="n"/>
      <c r="K59" s="57" t="n"/>
      <c r="L59" s="57" t="n"/>
      <c r="M59" s="57" t="n"/>
      <c r="N59" s="57" t="n"/>
      <c r="O59" s="57" t="n"/>
      <c r="P59" s="57" t="n"/>
    </row>
    <row r="60" ht="15" customHeight="1" s="42">
      <c r="A60" s="56" t="n">
        <v>56</v>
      </c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5" t="n"/>
      <c r="O60" s="55" t="n"/>
      <c r="P60" s="56" t="n"/>
    </row>
    <row r="61" ht="15" customHeight="1" s="42">
      <c r="A61" s="57" t="n">
        <v>57</v>
      </c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7" t="n"/>
      <c r="P61" s="57" t="n"/>
    </row>
    <row r="62" ht="15" customHeight="1" s="42">
      <c r="A62" s="56" t="n">
        <v>58</v>
      </c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5" t="n"/>
      <c r="O62" s="55" t="n"/>
      <c r="P62" s="56" t="n"/>
    </row>
    <row r="63" ht="15" customHeight="1" s="42">
      <c r="A63" s="57" t="n">
        <v>59</v>
      </c>
      <c r="B63" s="57" t="n"/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</row>
    <row r="64" ht="15" customHeight="1" s="42">
      <c r="A64" s="56" t="n">
        <v>60</v>
      </c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5" t="n"/>
      <c r="O64" s="55" t="n"/>
      <c r="P64" s="56" t="n"/>
    </row>
    <row r="65" ht="15" customHeight="1" s="42">
      <c r="A65" s="57" t="n">
        <v>61</v>
      </c>
      <c r="B65" s="57" t="n"/>
      <c r="C65" s="57" t="n"/>
      <c r="D65" s="57" t="n"/>
      <c r="E65" s="57" t="n"/>
      <c r="F65" s="57" t="n"/>
      <c r="G65" s="57" t="n"/>
      <c r="H65" s="57" t="n"/>
      <c r="I65" s="57" t="n"/>
      <c r="J65" s="57" t="n"/>
      <c r="K65" s="57" t="n"/>
      <c r="L65" s="57" t="n"/>
      <c r="M65" s="57" t="n"/>
      <c r="N65" s="57" t="n"/>
      <c r="O65" s="57" t="n"/>
      <c r="P65" s="57" t="n"/>
    </row>
    <row r="66" ht="15" customHeight="1" s="42">
      <c r="A66" s="56" t="n">
        <v>62</v>
      </c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5" t="n"/>
      <c r="O66" s="55" t="n"/>
      <c r="P66" s="56" t="n"/>
    </row>
    <row r="67" ht="15" customHeight="1" s="42">
      <c r="A67" s="57" t="n">
        <v>63</v>
      </c>
      <c r="B67" s="57" t="n"/>
      <c r="C67" s="57" t="n"/>
      <c r="D67" s="57" t="n"/>
      <c r="E67" s="57" t="n"/>
      <c r="F67" s="57" t="n"/>
      <c r="G67" s="57" t="n"/>
      <c r="H67" s="57" t="n"/>
      <c r="I67" s="57" t="n"/>
      <c r="J67" s="57" t="n"/>
      <c r="K67" s="57" t="n"/>
      <c r="L67" s="57" t="n"/>
      <c r="M67" s="57" t="n"/>
      <c r="N67" s="57" t="n"/>
      <c r="O67" s="57" t="n"/>
      <c r="P67" s="57" t="n"/>
    </row>
    <row r="68" ht="15" customHeight="1" s="42">
      <c r="A68" s="56" t="n">
        <v>64</v>
      </c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5" t="n"/>
      <c r="O68" s="55" t="n"/>
      <c r="P68" s="56" t="n"/>
    </row>
    <row r="69" ht="15" customHeight="1" s="42">
      <c r="A69" s="57" t="n">
        <v>65</v>
      </c>
      <c r="B69" s="57" t="n"/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</row>
    <row r="70" ht="15" customHeight="1" s="42">
      <c r="A70" s="56" t="n">
        <v>66</v>
      </c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5" t="n"/>
      <c r="O70" s="55" t="n"/>
      <c r="P70" s="56" t="n"/>
    </row>
    <row r="71" ht="15" customHeight="1" s="42">
      <c r="A71" s="57" t="n">
        <v>67</v>
      </c>
      <c r="B71" s="57" t="n"/>
      <c r="C71" s="57" t="n"/>
      <c r="D71" s="57" t="n"/>
      <c r="E71" s="57" t="n"/>
      <c r="F71" s="57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7" t="n"/>
      <c r="P71" s="57" t="n"/>
    </row>
    <row r="72" ht="15" customHeight="1" s="42">
      <c r="A72" s="56" t="n">
        <v>68</v>
      </c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5" t="n"/>
      <c r="O72" s="55" t="n"/>
      <c r="P72" s="56" t="n"/>
    </row>
    <row r="73" ht="15" customHeight="1" s="42">
      <c r="A73" s="57" t="n">
        <v>69</v>
      </c>
      <c r="B73" s="57" t="n"/>
      <c r="C73" s="57" t="n"/>
      <c r="D73" s="57" t="n"/>
      <c r="E73" s="57" t="n"/>
      <c r="F73" s="57" t="n"/>
      <c r="G73" s="57" t="n"/>
      <c r="H73" s="57" t="n"/>
      <c r="I73" s="57" t="n"/>
      <c r="J73" s="57" t="n"/>
      <c r="K73" s="57" t="n"/>
      <c r="L73" s="57" t="n"/>
      <c r="M73" s="57" t="n"/>
      <c r="N73" s="57" t="n"/>
      <c r="O73" s="57" t="n"/>
      <c r="P73" s="57" t="n"/>
    </row>
    <row r="74" ht="15" customHeight="1" s="42">
      <c r="A74" s="56" t="n">
        <v>70</v>
      </c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5" t="n"/>
      <c r="O74" s="55" t="n"/>
      <c r="P74" s="56" t="n"/>
    </row>
    <row r="75" ht="15" customHeight="1" s="42">
      <c r="A75" s="57" t="n">
        <v>71</v>
      </c>
      <c r="B75" s="57" t="n"/>
      <c r="C75" s="57" t="n"/>
      <c r="D75" s="57" t="n"/>
      <c r="E75" s="57" t="n"/>
      <c r="F75" s="57" t="n"/>
      <c r="G75" s="57" t="n"/>
      <c r="H75" s="57" t="n"/>
      <c r="I75" s="57" t="n"/>
      <c r="J75" s="57" t="n"/>
      <c r="K75" s="57" t="n"/>
      <c r="L75" s="57" t="n"/>
      <c r="M75" s="57" t="n"/>
      <c r="N75" s="57" t="n"/>
      <c r="O75" s="57" t="n"/>
      <c r="P75" s="57" t="n"/>
    </row>
    <row r="76" ht="15" customHeight="1" s="42">
      <c r="A76" s="56" t="n">
        <v>72</v>
      </c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5" t="n"/>
      <c r="O76" s="55" t="n"/>
      <c r="P76" s="56" t="n"/>
    </row>
    <row r="77" ht="15" customHeight="1" s="42">
      <c r="A77" s="57" t="n">
        <v>73</v>
      </c>
      <c r="B77" s="57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</row>
    <row r="78" ht="15" customHeight="1" s="42">
      <c r="A78" s="56" t="n">
        <v>74</v>
      </c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5" t="n"/>
      <c r="O78" s="55" t="n"/>
      <c r="P78" s="56" t="n"/>
    </row>
    <row r="79" ht="15" customHeight="1" s="42">
      <c r="A79" s="57" t="n">
        <v>75</v>
      </c>
      <c r="B79" s="57" t="n"/>
      <c r="C79" s="57" t="n"/>
      <c r="D79" s="57" t="n"/>
      <c r="E79" s="57" t="n"/>
      <c r="F79" s="57" t="n"/>
      <c r="G79" s="57" t="n"/>
      <c r="H79" s="57" t="n"/>
      <c r="I79" s="57" t="n"/>
      <c r="J79" s="57" t="n"/>
      <c r="K79" s="57" t="n"/>
      <c r="L79" s="57" t="n"/>
      <c r="M79" s="57" t="n"/>
      <c r="N79" s="57" t="n"/>
      <c r="O79" s="57" t="n"/>
      <c r="P79" s="57" t="n"/>
    </row>
    <row r="80" ht="15" customHeight="1" s="42">
      <c r="A80" s="56" t="n">
        <v>76</v>
      </c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  <c r="M80" s="56" t="n"/>
      <c r="N80" s="55" t="n"/>
      <c r="O80" s="55" t="n"/>
      <c r="P80" s="56" t="n"/>
    </row>
    <row r="81" ht="15" customHeight="1" s="42">
      <c r="A81" s="57" t="n">
        <v>77</v>
      </c>
      <c r="B81" s="57" t="n"/>
      <c r="C81" s="57" t="n"/>
      <c r="D81" s="57" t="n"/>
      <c r="E81" s="57" t="n"/>
      <c r="F81" s="57" t="n"/>
      <c r="G81" s="57" t="n"/>
      <c r="H81" s="57" t="n"/>
      <c r="I81" s="57" t="n"/>
      <c r="J81" s="57" t="n"/>
      <c r="K81" s="57" t="n"/>
      <c r="L81" s="57" t="n"/>
      <c r="M81" s="57" t="n"/>
      <c r="N81" s="57" t="n"/>
      <c r="O81" s="57" t="n"/>
      <c r="P81" s="57" t="n"/>
    </row>
    <row r="82" ht="15" customHeight="1" s="42">
      <c r="A82" s="56" t="n">
        <v>78</v>
      </c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  <c r="M82" s="56" t="n"/>
      <c r="N82" s="55" t="n"/>
      <c r="O82" s="55" t="n"/>
      <c r="P82" s="56" t="n"/>
    </row>
    <row r="83" ht="15" customHeight="1" s="42">
      <c r="A83" s="57" t="n">
        <v>79</v>
      </c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</row>
    <row r="84" ht="15" customHeight="1" s="42">
      <c r="A84" s="56" t="n">
        <v>80</v>
      </c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5" t="n"/>
      <c r="O84" s="55" t="n"/>
      <c r="P84" s="56" t="n"/>
    </row>
    <row r="85" ht="15" customHeight="1" s="42">
      <c r="A85" s="57" t="n">
        <v>81</v>
      </c>
      <c r="B85" s="57" t="n"/>
      <c r="C85" s="57" t="n"/>
      <c r="D85" s="57" t="n"/>
      <c r="E85" s="57" t="n"/>
      <c r="F85" s="57" t="n"/>
      <c r="G85" s="57" t="n"/>
      <c r="H85" s="57" t="n"/>
      <c r="I85" s="57" t="n"/>
      <c r="J85" s="57" t="n"/>
      <c r="K85" s="57" t="n"/>
      <c r="L85" s="57" t="n"/>
      <c r="M85" s="57" t="n"/>
      <c r="N85" s="57" t="n"/>
      <c r="O85" s="57" t="n"/>
      <c r="P85" s="57" t="n"/>
    </row>
    <row r="86" ht="15" customHeight="1" s="42">
      <c r="A86" s="56" t="n">
        <v>82</v>
      </c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5" t="n"/>
      <c r="O86" s="55" t="n"/>
      <c r="P86" s="56" t="n"/>
    </row>
    <row r="87" ht="15" customHeight="1" s="42">
      <c r="A87" s="57" t="n">
        <v>83</v>
      </c>
      <c r="B87" s="57" t="n"/>
      <c r="C87" s="57" t="n"/>
      <c r="D87" s="57" t="n"/>
      <c r="E87" s="57" t="n"/>
      <c r="F87" s="57" t="n"/>
      <c r="G87" s="57" t="n"/>
      <c r="H87" s="57" t="n"/>
      <c r="I87" s="57" t="n"/>
      <c r="J87" s="57" t="n"/>
      <c r="K87" s="57" t="n"/>
      <c r="L87" s="57" t="n"/>
      <c r="M87" s="57" t="n"/>
      <c r="N87" s="57" t="n"/>
      <c r="O87" s="57" t="n"/>
      <c r="P87" s="57" t="n"/>
    </row>
    <row r="88" ht="15" customHeight="1" s="42">
      <c r="A88" s="56" t="n">
        <v>84</v>
      </c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  <c r="M88" s="56" t="n"/>
      <c r="N88" s="55" t="n"/>
      <c r="O88" s="55" t="n"/>
      <c r="P88" s="56" t="n"/>
    </row>
    <row r="89" ht="15" customHeight="1" s="42">
      <c r="A89" s="57" t="n">
        <v>85</v>
      </c>
      <c r="B89" s="57" t="n"/>
      <c r="C89" s="57" t="n"/>
      <c r="D89" s="57" t="n"/>
      <c r="E89" s="57" t="n"/>
      <c r="F89" s="57" t="n"/>
      <c r="G89" s="57" t="n"/>
      <c r="H89" s="57" t="n"/>
      <c r="I89" s="57" t="n"/>
      <c r="J89" s="57" t="n"/>
      <c r="K89" s="57" t="n"/>
      <c r="L89" s="57" t="n"/>
      <c r="M89" s="57" t="n"/>
      <c r="N89" s="57" t="n"/>
      <c r="O89" s="57" t="n"/>
      <c r="P89" s="57" t="n"/>
    </row>
    <row r="90" ht="15" customHeight="1" s="42">
      <c r="A90" s="56" t="n">
        <v>86</v>
      </c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5" t="n"/>
      <c r="O90" s="55" t="n"/>
      <c r="P90" s="56" t="n"/>
    </row>
    <row r="91" ht="15" customHeight="1" s="42">
      <c r="A91" s="57" t="n">
        <v>87</v>
      </c>
      <c r="B91" s="57" t="n"/>
      <c r="C91" s="57" t="n"/>
      <c r="D91" s="57" t="n"/>
      <c r="E91" s="57" t="n"/>
      <c r="F91" s="57" t="n"/>
      <c r="G91" s="57" t="n"/>
      <c r="H91" s="57" t="n"/>
      <c r="I91" s="57" t="n"/>
      <c r="J91" s="57" t="n"/>
      <c r="K91" s="57" t="n"/>
      <c r="L91" s="57" t="n"/>
      <c r="M91" s="57" t="n"/>
      <c r="N91" s="57" t="n"/>
      <c r="O91" s="57" t="n"/>
      <c r="P91" s="57" t="n"/>
    </row>
    <row r="92" ht="15" customHeight="1" s="42">
      <c r="A92" s="56" t="n">
        <v>88</v>
      </c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5" t="n"/>
      <c r="O92" s="55" t="n"/>
      <c r="P92" s="56" t="n"/>
    </row>
    <row r="93" ht="15" customHeight="1" s="42">
      <c r="A93" s="57" t="n">
        <v>89</v>
      </c>
      <c r="B93" s="57" t="n"/>
      <c r="C93" s="57" t="n"/>
      <c r="D93" s="57" t="n"/>
      <c r="E93" s="57" t="n"/>
      <c r="F93" s="57" t="n"/>
      <c r="G93" s="57" t="n"/>
      <c r="H93" s="57" t="n"/>
      <c r="I93" s="57" t="n"/>
      <c r="J93" s="57" t="n"/>
      <c r="K93" s="57" t="n"/>
      <c r="L93" s="57" t="n"/>
      <c r="M93" s="57" t="n"/>
      <c r="N93" s="57" t="n"/>
      <c r="O93" s="57" t="n"/>
      <c r="P93" s="57" t="n"/>
    </row>
    <row r="94" ht="15" customHeight="1" s="42">
      <c r="A94" s="56" t="n">
        <v>90</v>
      </c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5" t="n"/>
      <c r="O94" s="55" t="n"/>
      <c r="P94" s="56" t="n"/>
    </row>
    <row r="95" ht="15" customHeight="1" s="42">
      <c r="A95" s="57" t="n">
        <v>91</v>
      </c>
      <c r="B95" s="57" t="n"/>
      <c r="C95" s="57" t="n"/>
      <c r="D95" s="57" t="n"/>
      <c r="E95" s="57" t="n"/>
      <c r="F95" s="57" t="n"/>
      <c r="G95" s="57" t="n"/>
      <c r="H95" s="57" t="n"/>
      <c r="I95" s="57" t="n"/>
      <c r="J95" s="57" t="n"/>
      <c r="K95" s="57" t="n"/>
      <c r="L95" s="57" t="n"/>
      <c r="M95" s="57" t="n"/>
      <c r="N95" s="57" t="n"/>
      <c r="O95" s="57" t="n"/>
      <c r="P95" s="57" t="n"/>
    </row>
    <row r="96" ht="15" customHeight="1" s="42">
      <c r="A96" s="56" t="n">
        <v>92</v>
      </c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5" t="n"/>
      <c r="O96" s="55" t="n"/>
      <c r="P96" s="56" t="n"/>
    </row>
    <row r="97" ht="15" customHeight="1" s="42">
      <c r="A97" s="57" t="n">
        <v>93</v>
      </c>
      <c r="B97" s="57" t="n"/>
      <c r="C97" s="57" t="n"/>
      <c r="D97" s="57" t="n"/>
      <c r="E97" s="57" t="n"/>
      <c r="F97" s="57" t="n"/>
      <c r="G97" s="57" t="n"/>
      <c r="H97" s="57" t="n"/>
      <c r="I97" s="57" t="n"/>
      <c r="J97" s="57" t="n"/>
      <c r="K97" s="57" t="n"/>
      <c r="L97" s="57" t="n"/>
      <c r="M97" s="57" t="n"/>
      <c r="N97" s="57" t="n"/>
      <c r="O97" s="57" t="n"/>
      <c r="P97" s="57" t="n"/>
    </row>
    <row r="98" ht="15" customHeight="1" s="42">
      <c r="A98" s="56" t="n">
        <v>94</v>
      </c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5" t="n"/>
      <c r="O98" s="55" t="n"/>
      <c r="P98" s="56" t="n"/>
    </row>
    <row r="99" ht="15" customHeight="1" s="42">
      <c r="A99" s="57" t="n">
        <v>95</v>
      </c>
      <c r="B99" s="57" t="n"/>
      <c r="C99" s="57" t="n"/>
      <c r="D99" s="57" t="n"/>
      <c r="E99" s="57" t="n"/>
      <c r="F99" s="57" t="n"/>
      <c r="G99" s="57" t="n"/>
      <c r="H99" s="57" t="n"/>
      <c r="I99" s="57" t="n"/>
      <c r="J99" s="57" t="n"/>
      <c r="K99" s="57" t="n"/>
      <c r="L99" s="57" t="n"/>
      <c r="M99" s="57" t="n"/>
      <c r="N99" s="57" t="n"/>
      <c r="O99" s="57" t="n"/>
      <c r="P99" s="57" t="n"/>
    </row>
    <row r="100" ht="15" customHeight="1" s="42">
      <c r="A100" s="56" t="n">
        <v>96</v>
      </c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5" t="n"/>
      <c r="O100" s="55" t="n"/>
      <c r="P100" s="56" t="n"/>
    </row>
    <row r="101" ht="15" customHeight="1" s="42">
      <c r="A101" s="57" t="n">
        <v>97</v>
      </c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  <c r="K101" s="57" t="n"/>
      <c r="L101" s="57" t="n"/>
      <c r="M101" s="57" t="n"/>
      <c r="N101" s="57" t="n"/>
      <c r="O101" s="57" t="n"/>
      <c r="P101" s="57" t="n"/>
    </row>
    <row r="102" ht="15" customHeight="1" s="42">
      <c r="A102" s="56" t="n">
        <v>98</v>
      </c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5" t="n"/>
      <c r="O102" s="55" t="n"/>
      <c r="P102" s="56" t="n"/>
    </row>
    <row r="103" ht="15" customHeight="1" s="42">
      <c r="A103" s="57" t="n">
        <v>99</v>
      </c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  <c r="K103" s="57" t="n"/>
      <c r="L103" s="57" t="n"/>
      <c r="M103" s="57" t="n"/>
      <c r="N103" s="57" t="n"/>
      <c r="O103" s="57" t="n"/>
      <c r="P103" s="57" t="n"/>
    </row>
    <row r="104" ht="15" customHeight="1" s="42">
      <c r="A104" s="56" t="n">
        <v>100</v>
      </c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5" t="n"/>
      <c r="O104" s="55" t="n"/>
      <c r="P104" s="56" t="n"/>
    </row>
    <row r="105" ht="15" customHeight="1" s="42">
      <c r="A105" s="57" t="n">
        <v>101</v>
      </c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  <c r="K105" s="57" t="n"/>
      <c r="L105" s="57" t="n"/>
      <c r="M105" s="57" t="n"/>
      <c r="N105" s="57" t="n"/>
      <c r="O105" s="57" t="n"/>
      <c r="P105" s="57" t="n"/>
    </row>
    <row r="107" ht="21.75" customHeight="1" s="42">
      <c r="A107" s="45" t="inlineStr">
        <is>
          <t>📊 월간 활동 집계</t>
        </is>
      </c>
    </row>
    <row r="108" ht="15" customHeight="1" s="42">
      <c r="A108" s="48" t="inlineStr">
        <is>
          <t>총 가망 수</t>
        </is>
      </c>
      <c r="B108" s="62" t="n"/>
      <c r="C108" s="56">
        <f>COUNTA(C5:C105)</f>
        <v/>
      </c>
    </row>
    <row r="109" ht="15" customHeight="1" s="42">
      <c r="A109" s="48" t="inlineStr">
        <is>
          <t>미팅 확정</t>
        </is>
      </c>
      <c r="B109" s="62" t="n"/>
      <c r="C109" s="56">
        <f>COUNTA(L5:L105)</f>
        <v/>
      </c>
    </row>
    <row r="110" ht="15" customHeight="1" s="42">
      <c r="A110" s="48" t="inlineStr">
        <is>
          <t>계약</t>
        </is>
      </c>
      <c r="B110" s="62" t="n"/>
      <c r="C110" s="56">
        <f>COUNTIF(M5:M105,"계약")</f>
        <v/>
      </c>
    </row>
    <row r="111" ht="15" customHeight="1" s="42">
      <c r="A111" s="48" t="inlineStr">
        <is>
          <t>거절(단기/중기)</t>
        </is>
      </c>
      <c r="B111" s="62" t="n"/>
      <c r="C111" s="56">
        <f>COUNTIF(M5:M105,"거절(단기)")+COUNTIF(M5:M105,"거절(중기)")</f>
        <v/>
      </c>
    </row>
    <row r="112" ht="15" customHeight="1" s="42">
      <c r="A112" s="48" t="inlineStr">
        <is>
          <t>이월 대상(Y)</t>
        </is>
      </c>
      <c r="B112" s="62" t="n"/>
      <c r="C112" s="56">
        <f>COUNTIF(N5:N105,"Y")</f>
        <v/>
      </c>
    </row>
    <row r="113" ht="15" customHeight="1" s="42">
      <c r="A113" s="48" t="inlineStr">
        <is>
          <t>소개 발생(Y)</t>
        </is>
      </c>
      <c r="B113" s="62" t="n"/>
      <c r="C113" s="56">
        <f>COUNTIF(O5:O105,"Y")</f>
        <v/>
      </c>
    </row>
  </sheetData>
  <autoFilter ref="A4:P105"/>
  <mergeCells count="9">
    <mergeCell ref="A112:B112"/>
    <mergeCell ref="A1:P1"/>
    <mergeCell ref="A108:B108"/>
    <mergeCell ref="A113:B113"/>
    <mergeCell ref="A111:B111"/>
    <mergeCell ref="A110:B110"/>
    <mergeCell ref="A107:D107"/>
    <mergeCell ref="A109:B109"/>
    <mergeCell ref="A2:P2"/>
  </mergeCells>
  <dataValidations count="3">
    <dataValidation sqref="B5:B105" showDropDown="0" showInputMessage="0" showErrorMessage="0" allowBlank="1" type="list" errorStyle="stop" operator="between">
      <formula1>"기존고객,가망고객,소개자,리크루팅,휴면고객,잘못된전화"</formula1>
      <formula2>0</formula2>
    </dataValidation>
    <dataValidation sqref="M5:M105" showDropDown="0" showInputMessage="0" showErrorMessage="0" allowBlank="1" type="list" errorStyle="stop" operator="between">
      <formula1>"계약,거절(단기),거절(중기),거절(완전),유보,진행중"</formula1>
      <formula2>0</formula2>
    </dataValidation>
    <dataValidation sqref="N5:O105" showDropDown="0" showInputMessage="0" showErrorMessage="0" allowBlank="1" type="list" errorStyle="stop" operator="between">
      <formula1>"Y,N"</formula1>
      <formula2>0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M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6" customWidth="1" style="41" min="1" max="1"/>
    <col width="12" customWidth="1" style="41" min="2" max="2"/>
    <col width="6" customWidth="1" style="41" min="3" max="3"/>
    <col width="11" customWidth="1" style="41" min="4" max="6"/>
    <col width="14" customWidth="1" style="41" min="7" max="9"/>
    <col width="10" customWidth="1" style="41" min="10" max="11"/>
    <col width="11" customWidth="1" style="41" min="12" max="12"/>
    <col width="28" customWidth="1" style="41" min="13" max="13"/>
  </cols>
  <sheetData>
    <row r="1" ht="36" customHeight="1" s="42">
      <c r="A1" s="43" t="inlineStr">
        <is>
          <t>하루 3명 활동 체크표</t>
        </is>
      </c>
    </row>
    <row r="2" ht="21.75" customHeight="1" s="42">
      <c r="A2" s="51" t="inlineStr">
        <is>
          <t>📌 활동력 = 성공. 하루 3명 미팅 = 주 18명 = 월 약 72명. 자동 합계 형식</t>
        </is>
      </c>
    </row>
    <row r="3" ht="30" customHeight="1" s="42">
      <c r="A3" s="53" t="inlineStr">
        <is>
          <t>주차</t>
        </is>
      </c>
      <c r="B3" s="53" t="inlineStr">
        <is>
          <t>날짜</t>
        </is>
      </c>
      <c r="C3" s="53" t="inlineStr">
        <is>
          <t>요일</t>
        </is>
      </c>
      <c r="D3" s="52" t="inlineStr">
        <is>
          <t>TA 시도수</t>
        </is>
      </c>
      <c r="E3" s="53" t="inlineStr">
        <is>
          <t>통화 성공</t>
        </is>
      </c>
      <c r="F3" s="53" t="inlineStr">
        <is>
          <t>약속 확정</t>
        </is>
      </c>
      <c r="G3" s="53" t="inlineStr">
        <is>
          <t>오전 미팅</t>
        </is>
      </c>
      <c r="H3" s="53" t="inlineStr">
        <is>
          <t>오후1 미팅</t>
        </is>
      </c>
      <c r="I3" s="53" t="inlineStr">
        <is>
          <t>오후2 미팅</t>
        </is>
      </c>
      <c r="J3" s="53" t="inlineStr">
        <is>
          <t>총 미팅수</t>
        </is>
      </c>
      <c r="K3" s="53" t="inlineStr">
        <is>
          <t>계약 건수</t>
        </is>
      </c>
      <c r="L3" s="53" t="inlineStr">
        <is>
          <t>소개 받은수</t>
        </is>
      </c>
      <c r="M3" s="53" t="inlineStr">
        <is>
          <t>비고</t>
        </is>
      </c>
    </row>
    <row r="4" ht="15" customHeight="1" s="42">
      <c r="A4" s="57" t="inlineStr">
        <is>
          <t>1주차</t>
        </is>
      </c>
      <c r="B4" s="57" t="inlineStr">
        <is>
          <t>2026-05-04</t>
        </is>
      </c>
      <c r="C4" s="63" t="inlineStr">
        <is>
          <t>월</t>
        </is>
      </c>
      <c r="D4" s="63" t="n"/>
      <c r="E4" s="63" t="n"/>
      <c r="F4" s="63" t="n"/>
      <c r="G4" s="63" t="n"/>
      <c r="H4" s="63" t="n"/>
      <c r="I4" s="63" t="n"/>
      <c r="J4" s="57">
        <f>COUNTA(G4:I4)</f>
        <v/>
      </c>
      <c r="K4" s="63" t="n"/>
      <c r="L4" s="63" t="n"/>
      <c r="M4" s="63" t="n"/>
    </row>
    <row r="5" ht="15" customHeight="1" s="42">
      <c r="A5" s="55" t="inlineStr">
        <is>
          <t>1주차</t>
        </is>
      </c>
      <c r="B5" s="55" t="inlineStr">
        <is>
          <t>2026-05-05</t>
        </is>
      </c>
      <c r="C5" s="56" t="inlineStr">
        <is>
          <t>화</t>
        </is>
      </c>
      <c r="D5" s="56" t="n"/>
      <c r="E5" s="56" t="n"/>
      <c r="F5" s="56" t="n"/>
      <c r="G5" s="56" t="n"/>
      <c r="H5" s="56" t="n"/>
      <c r="I5" s="56" t="n"/>
      <c r="J5" s="55">
        <f>COUNTA(G5:I5)</f>
        <v/>
      </c>
      <c r="K5" s="56" t="n"/>
      <c r="L5" s="56" t="n"/>
      <c r="M5" s="56" t="n"/>
    </row>
    <row r="6" ht="15" customHeight="1" s="42">
      <c r="A6" s="57" t="inlineStr">
        <is>
          <t>1주차</t>
        </is>
      </c>
      <c r="B6" s="57" t="inlineStr">
        <is>
          <t>2026-05-06</t>
        </is>
      </c>
      <c r="C6" s="63" t="inlineStr">
        <is>
          <t>수</t>
        </is>
      </c>
      <c r="D6" s="63" t="n"/>
      <c r="E6" s="63" t="n"/>
      <c r="F6" s="63" t="n"/>
      <c r="G6" s="63" t="n"/>
      <c r="H6" s="63" t="n"/>
      <c r="I6" s="63" t="n"/>
      <c r="J6" s="57">
        <f>COUNTA(G6:I6)</f>
        <v/>
      </c>
      <c r="K6" s="63" t="n"/>
      <c r="L6" s="63" t="n"/>
      <c r="M6" s="63" t="n"/>
    </row>
    <row r="7" ht="15" customHeight="1" s="42">
      <c r="A7" s="55" t="inlineStr">
        <is>
          <t>1주차</t>
        </is>
      </c>
      <c r="B7" s="55" t="inlineStr">
        <is>
          <t>2026-05-07</t>
        </is>
      </c>
      <c r="C7" s="56" t="inlineStr">
        <is>
          <t>목</t>
        </is>
      </c>
      <c r="D7" s="56" t="n"/>
      <c r="E7" s="56" t="n"/>
      <c r="F7" s="56" t="n"/>
      <c r="G7" s="56" t="n"/>
      <c r="H7" s="56" t="n"/>
      <c r="I7" s="56" t="n"/>
      <c r="J7" s="55">
        <f>COUNTA(G7:I7)</f>
        <v/>
      </c>
      <c r="K7" s="56" t="n"/>
      <c r="L7" s="56" t="n"/>
      <c r="M7" s="56" t="n"/>
    </row>
    <row r="8" ht="15" customHeight="1" s="42">
      <c r="A8" s="57" t="inlineStr">
        <is>
          <t>1주차</t>
        </is>
      </c>
      <c r="B8" s="57" t="inlineStr">
        <is>
          <t>2026-05-08</t>
        </is>
      </c>
      <c r="C8" s="63" t="inlineStr">
        <is>
          <t>금</t>
        </is>
      </c>
      <c r="D8" s="63" t="n"/>
      <c r="E8" s="63" t="n"/>
      <c r="F8" s="63" t="n"/>
      <c r="G8" s="63" t="n"/>
      <c r="H8" s="63" t="n"/>
      <c r="I8" s="63" t="n"/>
      <c r="J8" s="57">
        <f>COUNTA(G8:I8)</f>
        <v/>
      </c>
      <c r="K8" s="63" t="n"/>
      <c r="L8" s="63" t="n"/>
      <c r="M8" s="63" t="n"/>
    </row>
    <row r="9" ht="15" customHeight="1" s="42">
      <c r="A9" s="64" t="inlineStr">
        <is>
          <t>1주차</t>
        </is>
      </c>
      <c r="B9" s="64" t="inlineStr">
        <is>
          <t>2026-05-09</t>
        </is>
      </c>
      <c r="C9" s="65" t="inlineStr">
        <is>
          <t>토</t>
        </is>
      </c>
      <c r="D9" s="65" t="n"/>
      <c r="E9" s="65" t="n"/>
      <c r="F9" s="65" t="n"/>
      <c r="G9" s="65" t="n"/>
      <c r="H9" s="65" t="n"/>
      <c r="I9" s="65" t="n"/>
      <c r="J9" s="64">
        <f>COUNTA(G9:I9)</f>
        <v/>
      </c>
      <c r="K9" s="65" t="n"/>
      <c r="L9" s="65" t="n"/>
      <c r="M9" s="65" t="n"/>
    </row>
    <row r="10" ht="15" customHeight="1" s="42">
      <c r="A10" s="64" t="inlineStr">
        <is>
          <t>1주차</t>
        </is>
      </c>
      <c r="B10" s="64" t="inlineStr">
        <is>
          <t>2026-05-10</t>
        </is>
      </c>
      <c r="C10" s="65" t="inlineStr">
        <is>
          <t>일</t>
        </is>
      </c>
      <c r="D10" s="65" t="n"/>
      <c r="E10" s="65" t="n"/>
      <c r="F10" s="65" t="n"/>
      <c r="G10" s="65" t="n"/>
      <c r="H10" s="65" t="n"/>
      <c r="I10" s="65" t="n"/>
      <c r="J10" s="64">
        <f>COUNTA(G10:I10)</f>
        <v/>
      </c>
      <c r="K10" s="65" t="n"/>
      <c r="L10" s="65" t="n"/>
      <c r="M10" s="65" t="n"/>
    </row>
    <row r="11" ht="15" customHeight="1" s="42">
      <c r="A11" s="55" t="inlineStr">
        <is>
          <t>2주차</t>
        </is>
      </c>
      <c r="B11" s="55" t="inlineStr">
        <is>
          <t>2026-05-11</t>
        </is>
      </c>
      <c r="C11" s="56" t="inlineStr">
        <is>
          <t>월</t>
        </is>
      </c>
      <c r="D11" s="56" t="n"/>
      <c r="E11" s="56" t="n"/>
      <c r="F11" s="56" t="n"/>
      <c r="G11" s="56" t="n"/>
      <c r="H11" s="56" t="n"/>
      <c r="I11" s="56" t="n"/>
      <c r="J11" s="55">
        <f>COUNTA(G11:I11)</f>
        <v/>
      </c>
      <c r="K11" s="56" t="n"/>
      <c r="L11" s="56" t="n"/>
      <c r="M11" s="56" t="n"/>
    </row>
    <row r="12" ht="15" customHeight="1" s="42">
      <c r="A12" s="57" t="inlineStr">
        <is>
          <t>2주차</t>
        </is>
      </c>
      <c r="B12" s="57" t="inlineStr">
        <is>
          <t>2026-05-12</t>
        </is>
      </c>
      <c r="C12" s="63" t="inlineStr">
        <is>
          <t>화</t>
        </is>
      </c>
      <c r="D12" s="63" t="n"/>
      <c r="E12" s="63" t="n"/>
      <c r="F12" s="63" t="n"/>
      <c r="G12" s="63" t="n"/>
      <c r="H12" s="63" t="n"/>
      <c r="I12" s="63" t="n"/>
      <c r="J12" s="57">
        <f>COUNTA(G12:I12)</f>
        <v/>
      </c>
      <c r="K12" s="63" t="n"/>
      <c r="L12" s="63" t="n"/>
      <c r="M12" s="63" t="n"/>
    </row>
    <row r="13" ht="15" customHeight="1" s="42">
      <c r="A13" s="55" t="inlineStr">
        <is>
          <t>2주차</t>
        </is>
      </c>
      <c r="B13" s="55" t="inlineStr">
        <is>
          <t>2026-05-13</t>
        </is>
      </c>
      <c r="C13" s="56" t="inlineStr">
        <is>
          <t>수</t>
        </is>
      </c>
      <c r="D13" s="56" t="n"/>
      <c r="E13" s="56" t="n"/>
      <c r="F13" s="56" t="n"/>
      <c r="G13" s="56" t="n"/>
      <c r="H13" s="56" t="n"/>
      <c r="I13" s="56" t="n"/>
      <c r="J13" s="55">
        <f>COUNTA(G13:I13)</f>
        <v/>
      </c>
      <c r="K13" s="56" t="n"/>
      <c r="L13" s="56" t="n"/>
      <c r="M13" s="56" t="n"/>
    </row>
    <row r="14" ht="15" customHeight="1" s="42">
      <c r="A14" s="57" t="inlineStr">
        <is>
          <t>2주차</t>
        </is>
      </c>
      <c r="B14" s="57" t="inlineStr">
        <is>
          <t>2026-05-14</t>
        </is>
      </c>
      <c r="C14" s="63" t="inlineStr">
        <is>
          <t>목</t>
        </is>
      </c>
      <c r="D14" s="63" t="n"/>
      <c r="E14" s="63" t="n"/>
      <c r="F14" s="63" t="n"/>
      <c r="G14" s="63" t="n"/>
      <c r="H14" s="63" t="n"/>
      <c r="I14" s="63" t="n"/>
      <c r="J14" s="57">
        <f>COUNTA(G14:I14)</f>
        <v/>
      </c>
      <c r="K14" s="63" t="n"/>
      <c r="L14" s="63" t="n"/>
      <c r="M14" s="63" t="n"/>
    </row>
    <row r="15" ht="15" customHeight="1" s="42">
      <c r="A15" s="55" t="inlineStr">
        <is>
          <t>2주차</t>
        </is>
      </c>
      <c r="B15" s="55" t="inlineStr">
        <is>
          <t>2026-05-15</t>
        </is>
      </c>
      <c r="C15" s="56" t="inlineStr">
        <is>
          <t>금</t>
        </is>
      </c>
      <c r="D15" s="56" t="n"/>
      <c r="E15" s="56" t="n"/>
      <c r="F15" s="56" t="n"/>
      <c r="G15" s="56" t="n"/>
      <c r="H15" s="56" t="n"/>
      <c r="I15" s="56" t="n"/>
      <c r="J15" s="55">
        <f>COUNTA(G15:I15)</f>
        <v/>
      </c>
      <c r="K15" s="56" t="n"/>
      <c r="L15" s="56" t="n"/>
      <c r="M15" s="56" t="n"/>
    </row>
    <row r="16" ht="15" customHeight="1" s="42">
      <c r="A16" s="64" t="inlineStr">
        <is>
          <t>2주차</t>
        </is>
      </c>
      <c r="B16" s="64" t="inlineStr">
        <is>
          <t>2026-05-16</t>
        </is>
      </c>
      <c r="C16" s="65" t="inlineStr">
        <is>
          <t>토</t>
        </is>
      </c>
      <c r="D16" s="65" t="n"/>
      <c r="E16" s="65" t="n"/>
      <c r="F16" s="65" t="n"/>
      <c r="G16" s="65" t="n"/>
      <c r="H16" s="65" t="n"/>
      <c r="I16" s="65" t="n"/>
      <c r="J16" s="64">
        <f>COUNTA(G16:I16)</f>
        <v/>
      </c>
      <c r="K16" s="65" t="n"/>
      <c r="L16" s="65" t="n"/>
      <c r="M16" s="65" t="n"/>
    </row>
    <row r="17" ht="15" customHeight="1" s="42">
      <c r="A17" s="64" t="inlineStr">
        <is>
          <t>2주차</t>
        </is>
      </c>
      <c r="B17" s="64" t="inlineStr">
        <is>
          <t>2026-05-17</t>
        </is>
      </c>
      <c r="C17" s="65" t="inlineStr">
        <is>
          <t>일</t>
        </is>
      </c>
      <c r="D17" s="65" t="n"/>
      <c r="E17" s="65" t="n"/>
      <c r="F17" s="65" t="n"/>
      <c r="G17" s="65" t="n"/>
      <c r="H17" s="65" t="n"/>
      <c r="I17" s="65" t="n"/>
      <c r="J17" s="64">
        <f>COUNTA(G17:I17)</f>
        <v/>
      </c>
      <c r="K17" s="65" t="n"/>
      <c r="L17" s="65" t="n"/>
      <c r="M17" s="65" t="n"/>
    </row>
    <row r="18" ht="15" customHeight="1" s="42">
      <c r="A18" s="57" t="inlineStr">
        <is>
          <t>3주차</t>
        </is>
      </c>
      <c r="B18" s="57" t="inlineStr">
        <is>
          <t>2026-05-18</t>
        </is>
      </c>
      <c r="C18" s="63" t="inlineStr">
        <is>
          <t>월</t>
        </is>
      </c>
      <c r="D18" s="63" t="n"/>
      <c r="E18" s="63" t="n"/>
      <c r="F18" s="63" t="n"/>
      <c r="G18" s="63" t="n"/>
      <c r="H18" s="63" t="n"/>
      <c r="I18" s="63" t="n"/>
      <c r="J18" s="57">
        <f>COUNTA(G18:I18)</f>
        <v/>
      </c>
      <c r="K18" s="63" t="n"/>
      <c r="L18" s="63" t="n"/>
      <c r="M18" s="63" t="n"/>
    </row>
    <row r="19" ht="15" customHeight="1" s="42">
      <c r="A19" s="55" t="inlineStr">
        <is>
          <t>3주차</t>
        </is>
      </c>
      <c r="B19" s="55" t="inlineStr">
        <is>
          <t>2026-05-19</t>
        </is>
      </c>
      <c r="C19" s="56" t="inlineStr">
        <is>
          <t>화</t>
        </is>
      </c>
      <c r="D19" s="56" t="n"/>
      <c r="E19" s="56" t="n"/>
      <c r="F19" s="56" t="n"/>
      <c r="G19" s="56" t="n"/>
      <c r="H19" s="56" t="n"/>
      <c r="I19" s="56" t="n"/>
      <c r="J19" s="55">
        <f>COUNTA(G19:I19)</f>
        <v/>
      </c>
      <c r="K19" s="56" t="n"/>
      <c r="L19" s="56" t="n"/>
      <c r="M19" s="56" t="n"/>
    </row>
    <row r="20" ht="15" customHeight="1" s="42">
      <c r="A20" s="57" t="inlineStr">
        <is>
          <t>3주차</t>
        </is>
      </c>
      <c r="B20" s="57" t="inlineStr">
        <is>
          <t>2026-05-20</t>
        </is>
      </c>
      <c r="C20" s="63" t="inlineStr">
        <is>
          <t>수</t>
        </is>
      </c>
      <c r="D20" s="63" t="n"/>
      <c r="E20" s="63" t="n"/>
      <c r="F20" s="63" t="n"/>
      <c r="G20" s="63" t="n"/>
      <c r="H20" s="63" t="n"/>
      <c r="I20" s="63" t="n"/>
      <c r="J20" s="57">
        <f>COUNTA(G20:I20)</f>
        <v/>
      </c>
      <c r="K20" s="63" t="n"/>
      <c r="L20" s="63" t="n"/>
      <c r="M20" s="63" t="n"/>
    </row>
    <row r="21" ht="15" customHeight="1" s="42">
      <c r="A21" s="55" t="inlineStr">
        <is>
          <t>3주차</t>
        </is>
      </c>
      <c r="B21" s="55" t="inlineStr">
        <is>
          <t>2026-05-21</t>
        </is>
      </c>
      <c r="C21" s="56" t="inlineStr">
        <is>
          <t>목</t>
        </is>
      </c>
      <c r="D21" s="56" t="n"/>
      <c r="E21" s="56" t="n"/>
      <c r="F21" s="56" t="n"/>
      <c r="G21" s="56" t="n"/>
      <c r="H21" s="56" t="n"/>
      <c r="I21" s="56" t="n"/>
      <c r="J21" s="55">
        <f>COUNTA(G21:I21)</f>
        <v/>
      </c>
      <c r="K21" s="56" t="n"/>
      <c r="L21" s="56" t="n"/>
      <c r="M21" s="56" t="n"/>
    </row>
    <row r="22" ht="15" customHeight="1" s="42">
      <c r="A22" s="57" t="inlineStr">
        <is>
          <t>3주차</t>
        </is>
      </c>
      <c r="B22" s="57" t="inlineStr">
        <is>
          <t>2026-05-22</t>
        </is>
      </c>
      <c r="C22" s="63" t="inlineStr">
        <is>
          <t>금</t>
        </is>
      </c>
      <c r="D22" s="63" t="n"/>
      <c r="E22" s="63" t="n"/>
      <c r="F22" s="63" t="n"/>
      <c r="G22" s="63" t="n"/>
      <c r="H22" s="63" t="n"/>
      <c r="I22" s="63" t="n"/>
      <c r="J22" s="57">
        <f>COUNTA(G22:I22)</f>
        <v/>
      </c>
      <c r="K22" s="63" t="n"/>
      <c r="L22" s="63" t="n"/>
      <c r="M22" s="63" t="n"/>
    </row>
    <row r="23" ht="15" customHeight="1" s="42">
      <c r="A23" s="64" t="inlineStr">
        <is>
          <t>3주차</t>
        </is>
      </c>
      <c r="B23" s="64" t="inlineStr">
        <is>
          <t>2026-05-23</t>
        </is>
      </c>
      <c r="C23" s="65" t="inlineStr">
        <is>
          <t>토</t>
        </is>
      </c>
      <c r="D23" s="65" t="n"/>
      <c r="E23" s="65" t="n"/>
      <c r="F23" s="65" t="n"/>
      <c r="G23" s="65" t="n"/>
      <c r="H23" s="65" t="n"/>
      <c r="I23" s="65" t="n"/>
      <c r="J23" s="64">
        <f>COUNTA(G23:I23)</f>
        <v/>
      </c>
      <c r="K23" s="65" t="n"/>
      <c r="L23" s="65" t="n"/>
      <c r="M23" s="65" t="n"/>
    </row>
    <row r="24" ht="15" customHeight="1" s="42">
      <c r="A24" s="64" t="inlineStr">
        <is>
          <t>3주차</t>
        </is>
      </c>
      <c r="B24" s="64" t="inlineStr">
        <is>
          <t>2026-05-24</t>
        </is>
      </c>
      <c r="C24" s="65" t="inlineStr">
        <is>
          <t>일</t>
        </is>
      </c>
      <c r="D24" s="65" t="n"/>
      <c r="E24" s="65" t="n"/>
      <c r="F24" s="65" t="n"/>
      <c r="G24" s="65" t="n"/>
      <c r="H24" s="65" t="n"/>
      <c r="I24" s="65" t="n"/>
      <c r="J24" s="64">
        <f>COUNTA(G24:I24)</f>
        <v/>
      </c>
      <c r="K24" s="65" t="n"/>
      <c r="L24" s="65" t="n"/>
      <c r="M24" s="65" t="n"/>
    </row>
    <row r="25" ht="15" customHeight="1" s="42">
      <c r="A25" s="55" t="inlineStr">
        <is>
          <t>4주차</t>
        </is>
      </c>
      <c r="B25" s="55" t="inlineStr">
        <is>
          <t>2026-05-25</t>
        </is>
      </c>
      <c r="C25" s="56" t="inlineStr">
        <is>
          <t>월</t>
        </is>
      </c>
      <c r="D25" s="56" t="n"/>
      <c r="E25" s="56" t="n"/>
      <c r="F25" s="56" t="n"/>
      <c r="G25" s="56" t="n"/>
      <c r="H25" s="56" t="n"/>
      <c r="I25" s="56" t="n"/>
      <c r="J25" s="55">
        <f>COUNTA(G25:I25)</f>
        <v/>
      </c>
      <c r="K25" s="56" t="n"/>
      <c r="L25" s="56" t="n"/>
      <c r="M25" s="56" t="n"/>
    </row>
    <row r="26" ht="15" customHeight="1" s="42">
      <c r="A26" s="57" t="inlineStr">
        <is>
          <t>4주차</t>
        </is>
      </c>
      <c r="B26" s="57" t="inlineStr">
        <is>
          <t>2026-05-26</t>
        </is>
      </c>
      <c r="C26" s="63" t="inlineStr">
        <is>
          <t>화</t>
        </is>
      </c>
      <c r="D26" s="63" t="n"/>
      <c r="E26" s="63" t="n"/>
      <c r="F26" s="63" t="n"/>
      <c r="G26" s="63" t="n"/>
      <c r="H26" s="63" t="n"/>
      <c r="I26" s="63" t="n"/>
      <c r="J26" s="57">
        <f>COUNTA(G26:I26)</f>
        <v/>
      </c>
      <c r="K26" s="63" t="n"/>
      <c r="L26" s="63" t="n"/>
      <c r="M26" s="63" t="n"/>
    </row>
    <row r="27" ht="15" customHeight="1" s="42">
      <c r="A27" s="55" t="inlineStr">
        <is>
          <t>4주차</t>
        </is>
      </c>
      <c r="B27" s="55" t="inlineStr">
        <is>
          <t>2026-05-27</t>
        </is>
      </c>
      <c r="C27" s="56" t="inlineStr">
        <is>
          <t>수</t>
        </is>
      </c>
      <c r="D27" s="56" t="n"/>
      <c r="E27" s="56" t="n"/>
      <c r="F27" s="56" t="n"/>
      <c r="G27" s="56" t="n"/>
      <c r="H27" s="56" t="n"/>
      <c r="I27" s="56" t="n"/>
      <c r="J27" s="55">
        <f>COUNTA(G27:I27)</f>
        <v/>
      </c>
      <c r="K27" s="56" t="n"/>
      <c r="L27" s="56" t="n"/>
      <c r="M27" s="56" t="n"/>
    </row>
    <row r="28" ht="15" customHeight="1" s="42">
      <c r="A28" s="57" t="inlineStr">
        <is>
          <t>4주차</t>
        </is>
      </c>
      <c r="B28" s="57" t="inlineStr">
        <is>
          <t>2026-05-28</t>
        </is>
      </c>
      <c r="C28" s="63" t="inlineStr">
        <is>
          <t>목</t>
        </is>
      </c>
      <c r="D28" s="63" t="n"/>
      <c r="E28" s="63" t="n"/>
      <c r="F28" s="63" t="n"/>
      <c r="G28" s="63" t="n"/>
      <c r="H28" s="63" t="n"/>
      <c r="I28" s="63" t="n"/>
      <c r="J28" s="57">
        <f>COUNTA(G28:I28)</f>
        <v/>
      </c>
      <c r="K28" s="63" t="n"/>
      <c r="L28" s="63" t="n"/>
      <c r="M28" s="63" t="n"/>
    </row>
    <row r="29" ht="15" customHeight="1" s="42">
      <c r="A29" s="55" t="inlineStr">
        <is>
          <t>4주차</t>
        </is>
      </c>
      <c r="B29" s="55" t="inlineStr">
        <is>
          <t>2026-05-29</t>
        </is>
      </c>
      <c r="C29" s="56" t="inlineStr">
        <is>
          <t>금</t>
        </is>
      </c>
      <c r="D29" s="56" t="n"/>
      <c r="E29" s="56" t="n"/>
      <c r="F29" s="56" t="n"/>
      <c r="G29" s="56" t="n"/>
      <c r="H29" s="56" t="n"/>
      <c r="I29" s="56" t="n"/>
      <c r="J29" s="55">
        <f>COUNTA(G29:I29)</f>
        <v/>
      </c>
      <c r="K29" s="56" t="n"/>
      <c r="L29" s="56" t="n"/>
      <c r="M29" s="56" t="n"/>
    </row>
    <row r="30" ht="15" customHeight="1" s="42">
      <c r="A30" s="64" t="inlineStr">
        <is>
          <t>4주차</t>
        </is>
      </c>
      <c r="B30" s="64" t="inlineStr">
        <is>
          <t>2026-05-30</t>
        </is>
      </c>
      <c r="C30" s="65" t="inlineStr">
        <is>
          <t>토</t>
        </is>
      </c>
      <c r="D30" s="65" t="n"/>
      <c r="E30" s="65" t="n"/>
      <c r="F30" s="65" t="n"/>
      <c r="G30" s="65" t="n"/>
      <c r="H30" s="65" t="n"/>
      <c r="I30" s="65" t="n"/>
      <c r="J30" s="64">
        <f>COUNTA(G30:I30)</f>
        <v/>
      </c>
      <c r="K30" s="65" t="n"/>
      <c r="L30" s="65" t="n"/>
      <c r="M30" s="65" t="n"/>
    </row>
    <row r="31" ht="15" customHeight="1" s="42">
      <c r="A31" s="64" t="inlineStr">
        <is>
          <t>4주차</t>
        </is>
      </c>
      <c r="B31" s="64" t="inlineStr">
        <is>
          <t>2026-05-31</t>
        </is>
      </c>
      <c r="C31" s="65" t="inlineStr">
        <is>
          <t>일</t>
        </is>
      </c>
      <c r="D31" s="65" t="n"/>
      <c r="E31" s="65" t="n"/>
      <c r="F31" s="65" t="n"/>
      <c r="G31" s="65" t="n"/>
      <c r="H31" s="65" t="n"/>
      <c r="I31" s="65" t="n"/>
      <c r="J31" s="64">
        <f>COUNTA(G31:I31)</f>
        <v/>
      </c>
      <c r="K31" s="65" t="n"/>
      <c r="L31" s="65" t="n"/>
      <c r="M31" s="65" t="n"/>
    </row>
    <row r="32" ht="15" customHeight="1" s="42">
      <c r="A32" s="57" t="inlineStr">
        <is>
          <t>5주차</t>
        </is>
      </c>
      <c r="B32" s="57" t="inlineStr">
        <is>
          <t>2026-06-01</t>
        </is>
      </c>
      <c r="C32" s="63" t="inlineStr">
        <is>
          <t>월</t>
        </is>
      </c>
      <c r="D32" s="63" t="n"/>
      <c r="E32" s="63" t="n"/>
      <c r="F32" s="63" t="n"/>
      <c r="G32" s="63" t="n"/>
      <c r="H32" s="63" t="n"/>
      <c r="I32" s="63" t="n"/>
      <c r="J32" s="57">
        <f>COUNTA(G32:I32)</f>
        <v/>
      </c>
      <c r="K32" s="63" t="n"/>
      <c r="L32" s="63" t="n"/>
      <c r="M32" s="63" t="n"/>
    </row>
    <row r="33" ht="15" customHeight="1" s="42">
      <c r="A33" s="55" t="inlineStr">
        <is>
          <t>5주차</t>
        </is>
      </c>
      <c r="B33" s="55" t="inlineStr">
        <is>
          <t>2026-06-02</t>
        </is>
      </c>
      <c r="C33" s="56" t="inlineStr">
        <is>
          <t>화</t>
        </is>
      </c>
      <c r="D33" s="56" t="n"/>
      <c r="E33" s="56" t="n"/>
      <c r="F33" s="56" t="n"/>
      <c r="G33" s="56" t="n"/>
      <c r="H33" s="56" t="n"/>
      <c r="I33" s="56" t="n"/>
      <c r="J33" s="55">
        <f>COUNTA(G33:I33)</f>
        <v/>
      </c>
      <c r="K33" s="56" t="n"/>
      <c r="L33" s="56" t="n"/>
      <c r="M33" s="56" t="n"/>
    </row>
    <row r="34" ht="15" customHeight="1" s="42">
      <c r="A34" s="57" t="inlineStr">
        <is>
          <t>5주차</t>
        </is>
      </c>
      <c r="B34" s="57" t="inlineStr">
        <is>
          <t>2026-06-03</t>
        </is>
      </c>
      <c r="C34" s="63" t="inlineStr">
        <is>
          <t>수</t>
        </is>
      </c>
      <c r="D34" s="63" t="n"/>
      <c r="E34" s="63" t="n"/>
      <c r="F34" s="63" t="n"/>
      <c r="G34" s="63" t="n"/>
      <c r="H34" s="63" t="n"/>
      <c r="I34" s="63" t="n"/>
      <c r="J34" s="57">
        <f>COUNTA(G34:I34)</f>
        <v/>
      </c>
      <c r="K34" s="63" t="n"/>
      <c r="L34" s="63" t="n"/>
      <c r="M34" s="63" t="n"/>
    </row>
    <row r="35" ht="15" customHeight="1" s="42">
      <c r="A35" s="55" t="inlineStr">
        <is>
          <t>5주차</t>
        </is>
      </c>
      <c r="B35" s="55" t="inlineStr">
        <is>
          <t>2026-06-04</t>
        </is>
      </c>
      <c r="C35" s="56" t="inlineStr">
        <is>
          <t>목</t>
        </is>
      </c>
      <c r="D35" s="56" t="n"/>
      <c r="E35" s="56" t="n"/>
      <c r="F35" s="56" t="n"/>
      <c r="G35" s="56" t="n"/>
      <c r="H35" s="56" t="n"/>
      <c r="I35" s="56" t="n"/>
      <c r="J35" s="55">
        <f>COUNTA(G35:I35)</f>
        <v/>
      </c>
      <c r="K35" s="56" t="n"/>
      <c r="L35" s="56" t="n"/>
      <c r="M35" s="56" t="n"/>
    </row>
    <row r="36" ht="15" customHeight="1" s="42">
      <c r="A36" s="57" t="inlineStr">
        <is>
          <t>5주차</t>
        </is>
      </c>
      <c r="B36" s="57" t="inlineStr">
        <is>
          <t>2026-06-05</t>
        </is>
      </c>
      <c r="C36" s="63" t="inlineStr">
        <is>
          <t>금</t>
        </is>
      </c>
      <c r="D36" s="63" t="n"/>
      <c r="E36" s="63" t="n"/>
      <c r="F36" s="63" t="n"/>
      <c r="G36" s="63" t="n"/>
      <c r="H36" s="63" t="n"/>
      <c r="I36" s="63" t="n"/>
      <c r="J36" s="57">
        <f>COUNTA(G36:I36)</f>
        <v/>
      </c>
      <c r="K36" s="63" t="n"/>
      <c r="L36" s="63" t="n"/>
      <c r="M36" s="63" t="n"/>
    </row>
    <row r="37" ht="15" customHeight="1" s="42">
      <c r="A37" s="64" t="inlineStr">
        <is>
          <t>5주차</t>
        </is>
      </c>
      <c r="B37" s="64" t="inlineStr">
        <is>
          <t>2026-06-06</t>
        </is>
      </c>
      <c r="C37" s="65" t="inlineStr">
        <is>
          <t>토</t>
        </is>
      </c>
      <c r="D37" s="65" t="n"/>
      <c r="E37" s="65" t="n"/>
      <c r="F37" s="65" t="n"/>
      <c r="G37" s="65" t="n"/>
      <c r="H37" s="65" t="n"/>
      <c r="I37" s="65" t="n"/>
      <c r="J37" s="64">
        <f>COUNTA(G37:I37)</f>
        <v/>
      </c>
      <c r="K37" s="65" t="n"/>
      <c r="L37" s="65" t="n"/>
      <c r="M37" s="65" t="n"/>
    </row>
    <row r="38" ht="15" customHeight="1" s="42">
      <c r="A38" s="64" t="inlineStr">
        <is>
          <t>5주차</t>
        </is>
      </c>
      <c r="B38" s="64" t="inlineStr">
        <is>
          <t>2026-06-07</t>
        </is>
      </c>
      <c r="C38" s="65" t="inlineStr">
        <is>
          <t>일</t>
        </is>
      </c>
      <c r="D38" s="65" t="n"/>
      <c r="E38" s="65" t="n"/>
      <c r="F38" s="65" t="n"/>
      <c r="G38" s="65" t="n"/>
      <c r="H38" s="65" t="n"/>
      <c r="I38" s="65" t="n"/>
      <c r="J38" s="64">
        <f>COUNTA(G38:I38)</f>
        <v/>
      </c>
      <c r="K38" s="65" t="n"/>
      <c r="L38" s="65" t="n"/>
      <c r="M38" s="65" t="n"/>
    </row>
    <row r="40" ht="21.75" customHeight="1" s="42">
      <c r="A40" s="45" t="inlineStr">
        <is>
          <t>📊 월간 합계</t>
        </is>
      </c>
    </row>
    <row r="41" ht="15" customHeight="1" s="42">
      <c r="A41" s="60" t="inlineStr">
        <is>
          <t>합계</t>
        </is>
      </c>
      <c r="B41" s="66" t="n"/>
      <c r="C41" s="62" t="n"/>
      <c r="D41" s="67">
        <f>SUM(D4:D38)</f>
        <v/>
      </c>
      <c r="E41" s="67">
        <f>SUM(E4:E38)</f>
        <v/>
      </c>
      <c r="F41" s="67">
        <f>SUM(F4:F38)</f>
        <v/>
      </c>
      <c r="J41" s="67">
        <f>SUM(J4:J38)</f>
        <v/>
      </c>
      <c r="K41" s="67">
        <f>SUM(K4:K38)</f>
        <v/>
      </c>
      <c r="L41" s="67">
        <f>SUM(L4:L38)</f>
        <v/>
      </c>
    </row>
  </sheetData>
  <mergeCells count="4">
    <mergeCell ref="A40:C40"/>
    <mergeCell ref="A2:M2"/>
    <mergeCell ref="A41:C41"/>
    <mergeCell ref="A1:M1"/>
  </mergeCells>
  <conditionalFormatting sqref="J4:J38">
    <cfRule type="cellIs" rank="0" priority="2" equalAverage="0" operator="lessThan" aboveAverage="0" dxfId="10" text="" percent="0" bottom="0">
      <formula>3</formula>
    </cfRule>
  </conditionalFormatting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71484375" defaultRowHeight="15" zeroHeight="0" outlineLevelRow="0"/>
  <cols>
    <col width="3" customWidth="1" style="41" min="1" max="1"/>
    <col width="14" customWidth="1" style="41" min="2" max="2"/>
    <col width="22" customWidth="1" style="41" min="3" max="3"/>
    <col width="14" customWidth="1" style="41" min="4" max="4"/>
    <col width="22" customWidth="1" style="41" min="5" max="5"/>
    <col width="14" customWidth="1" style="41" min="6" max="6"/>
    <col width="22" customWidth="1" style="41" min="7" max="7"/>
    <col width="3" customWidth="1" style="41" min="8" max="8"/>
  </cols>
  <sheetData>
    <row r="1" ht="42" customHeight="1" s="42">
      <c r="A1" s="43" t="inlineStr">
        <is>
          <t>상담 섭외지 (섭외 완료건)</t>
        </is>
      </c>
    </row>
    <row r="3" ht="15" customHeight="1" s="42">
      <c r="B3" s="60" t="inlineStr">
        <is>
          <t>섭외사</t>
        </is>
      </c>
      <c r="C3" s="47" t="inlineStr">
        <is>
          <t>위너스TOA</t>
        </is>
      </c>
      <c r="D3" s="60" t="inlineStr">
        <is>
          <t>섭외자</t>
        </is>
      </c>
      <c r="E3" s="47" t="inlineStr">
        <is>
          <t>김나영</t>
        </is>
      </c>
      <c r="F3" s="60" t="inlineStr">
        <is>
          <t>발송일</t>
        </is>
      </c>
      <c r="G3" s="47" t="inlineStr">
        <is>
          <t>1월 3일 (수)</t>
        </is>
      </c>
    </row>
    <row r="4" ht="3.75" customHeight="1" s="42"/>
    <row r="5" ht="24" customHeight="1" s="42">
      <c r="B5" s="68" t="inlineStr">
        <is>
          <t>1. 기본 정보</t>
        </is>
      </c>
    </row>
    <row r="6" ht="15" customHeight="1" s="42">
      <c r="B6" s="60" t="inlineStr">
        <is>
          <t>방문예정 일시</t>
        </is>
      </c>
      <c r="C6" s="69" t="inlineStr">
        <is>
          <t>1월 4일 (목) 11시 오전</t>
        </is>
      </c>
      <c r="D6" s="66" t="n"/>
      <c r="E6" s="66" t="n"/>
      <c r="F6" s="66" t="n"/>
      <c r="G6" s="66" t="n"/>
    </row>
    <row r="7" ht="15" customHeight="1" s="42">
      <c r="B7" s="60" t="inlineStr">
        <is>
          <t>업체명</t>
        </is>
      </c>
      <c r="C7" s="69" t="inlineStr">
        <is>
          <t>(주)삼정정</t>
        </is>
      </c>
      <c r="D7" s="66" t="n"/>
      <c r="E7" s="60" t="inlineStr">
        <is>
          <t>사업자유형</t>
        </is>
      </c>
      <c r="F7" s="70" t="inlineStr">
        <is>
          <t>개인 ( )  법인 (✓)</t>
        </is>
      </c>
      <c r="G7" s="66" t="n"/>
    </row>
    <row r="8" ht="15" customHeight="1" s="42">
      <c r="B8" s="60" t="inlineStr">
        <is>
          <t>대표명</t>
        </is>
      </c>
      <c r="C8" s="47" t="inlineStr">
        <is>
          <t>박정길</t>
        </is>
      </c>
      <c r="D8" s="60" t="inlineStr">
        <is>
          <t>연락처</t>
        </is>
      </c>
      <c r="E8" s="47" t="inlineStr">
        <is>
          <t>010-3665-1217</t>
        </is>
      </c>
      <c r="F8" s="60" t="inlineStr">
        <is>
          <t>사업자번호</t>
        </is>
      </c>
      <c r="G8" s="47" t="inlineStr">
        <is>
          <t>234-81-05193</t>
        </is>
      </c>
    </row>
    <row r="9" ht="15" customHeight="1" s="42">
      <c r="B9" s="60" t="inlineStr">
        <is>
          <t>방문주소</t>
        </is>
      </c>
      <c r="C9" s="71" t="inlineStr">
        <is>
          <t>김포시 하성면 석탄리 602-나 (주소) ※ 전방 30m 옆에 "삼정정" 이라는 표시</t>
        </is>
      </c>
      <c r="D9" s="66" t="n"/>
      <c r="E9" s="66" t="n"/>
      <c r="F9" s="66" t="n"/>
      <c r="G9" s="66" t="n"/>
    </row>
    <row r="10" ht="3.75" customHeight="1" s="42"/>
    <row r="11" ht="24" customHeight="1" s="42">
      <c r="B11" s="68" t="inlineStr">
        <is>
          <t>2. 통화 내용</t>
        </is>
      </c>
    </row>
    <row r="12" ht="19.5" customHeight="1" s="42">
      <c r="B12" s="72" t="inlineStr">
        <is>
          <t>2-1. 섭외자 멘트</t>
        </is>
      </c>
      <c r="C12" s="66" t="n"/>
      <c r="D12" s="66" t="n"/>
      <c r="E12" s="66" t="n"/>
      <c r="F12" s="66" t="n"/>
      <c r="G12" s="66" t="n"/>
    </row>
    <row r="13" ht="19.5" customHeight="1" s="42">
      <c r="B13" s="73" t="inlineStr">
        <is>
          <t>기보 + 신보 자금안내</t>
        </is>
      </c>
      <c r="C13" s="74" t="n"/>
      <c r="D13" s="74" t="n"/>
      <c r="E13" s="74" t="n"/>
      <c r="F13" s="74" t="n"/>
      <c r="G13" s="74" t="n"/>
    </row>
    <row r="14" ht="19.5" customHeight="1" s="42">
      <c r="B14" s="75" t="n"/>
    </row>
    <row r="15" ht="19.5" customHeight="1" s="42">
      <c r="B15" s="75" t="n"/>
    </row>
    <row r="16" ht="19.5" customHeight="1" s="42">
      <c r="B16" s="72" t="inlineStr">
        <is>
          <t>2-2. 대표 질문 및 요청 사항</t>
        </is>
      </c>
      <c r="C16" s="66" t="n"/>
      <c r="D16" s="66" t="n"/>
      <c r="E16" s="66" t="n"/>
      <c r="F16" s="66" t="n"/>
      <c r="G16" s="66" t="n"/>
    </row>
    <row r="17" ht="19.5" customHeight="1" s="42">
      <c r="B17" s="73" t="inlineStr">
        <is>
          <t>경정도 (기존)이 받았는데 다시 확인하니 안되고 있음</t>
        </is>
      </c>
      <c r="C17" s="74" t="n"/>
      <c r="D17" s="74" t="n"/>
      <c r="E17" s="74" t="n"/>
      <c r="F17" s="74" t="n"/>
      <c r="G17" s="74" t="n"/>
    </row>
    <row r="18" ht="19.5" customHeight="1" s="42">
      <c r="B18" s="75" t="n"/>
    </row>
    <row r="19" ht="19.5" customHeight="1" s="42">
      <c r="B19" s="75" t="n"/>
    </row>
    <row r="20" ht="19.5" customHeight="1" s="42">
      <c r="B20" s="72" t="inlineStr">
        <is>
          <t>2-3. 특이 사항</t>
        </is>
      </c>
      <c r="C20" s="66" t="n"/>
      <c r="D20" s="66" t="n"/>
      <c r="E20" s="66" t="n"/>
      <c r="F20" s="66" t="n"/>
      <c r="G20" s="66" t="n"/>
    </row>
    <row r="21" ht="19.5" customHeight="1" s="42">
      <c r="B21" s="73" t="n"/>
      <c r="C21" s="74" t="n"/>
      <c r="D21" s="74" t="n"/>
      <c r="E21" s="74" t="n"/>
      <c r="F21" s="74" t="n"/>
      <c r="G21" s="74" t="n"/>
    </row>
    <row r="22" ht="19.5" customHeight="1" s="42">
      <c r="B22" s="75" t="n"/>
    </row>
    <row r="23" ht="19.5" customHeight="1" s="42">
      <c r="B23" s="75" t="n"/>
    </row>
    <row r="24" ht="19.5" customHeight="1" s="42">
      <c r="B24" s="72" t="inlineStr">
        <is>
          <t>2-4. 상담 분야</t>
        </is>
      </c>
      <c r="C24" s="66" t="n"/>
      <c r="D24" s="66" t="n"/>
      <c r="E24" s="66" t="n"/>
      <c r="F24" s="66" t="n"/>
      <c r="G24" s="66" t="n"/>
    </row>
    <row r="25" ht="15" customHeight="1" s="42">
      <c r="B25" s="60" t="inlineStr">
        <is>
          <t>기업자금</t>
        </is>
      </c>
      <c r="C25" s="49" t="inlineStr">
        <is>
          <t>☑</t>
        </is>
      </c>
      <c r="D25" s="60" t="inlineStr">
        <is>
          <t>운전자금</t>
        </is>
      </c>
      <c r="E25" s="49" t="inlineStr">
        <is>
          <t>□</t>
        </is>
      </c>
      <c r="F25" s="60" t="inlineStr">
        <is>
          <t>시설자금</t>
        </is>
      </c>
      <c r="G25" s="49" t="inlineStr">
        <is>
          <t>□</t>
        </is>
      </c>
    </row>
    <row r="26" ht="15" customHeight="1" s="42">
      <c r="B26" s="60" t="inlineStr">
        <is>
          <t>세금절세</t>
        </is>
      </c>
      <c r="C26" s="49" t="inlineStr">
        <is>
          <t>□</t>
        </is>
      </c>
      <c r="D26" s="60" t="inlineStr">
        <is>
          <t>연구소</t>
        </is>
      </c>
      <c r="E26" s="49" t="inlineStr">
        <is>
          <t>□</t>
        </is>
      </c>
      <c r="F26" s="60" t="inlineStr">
        <is>
          <t>기타</t>
        </is>
      </c>
      <c r="G26" s="47" t="n"/>
    </row>
    <row r="27" ht="3.75" customHeight="1" s="42"/>
    <row r="28" ht="24" customHeight="1" s="42">
      <c r="B28" s="68" t="inlineStr">
        <is>
          <t>3. 확인 사항</t>
        </is>
      </c>
    </row>
    <row r="29" ht="27" customHeight="1" s="42">
      <c r="B29" s="60" t="inlineStr">
        <is>
          <t>업종</t>
        </is>
      </c>
      <c r="C29" s="47" t="inlineStr">
        <is>
          <t>제조 (✓)  도소매 ( )  기타 ( )</t>
        </is>
      </c>
      <c r="D29" s="60" t="inlineStr">
        <is>
          <t>기대출</t>
        </is>
      </c>
      <c r="E29" s="47" t="n"/>
      <c r="F29" s="60" t="inlineStr">
        <is>
          <t>대표 신용</t>
        </is>
      </c>
      <c r="G29" s="47" t="n"/>
    </row>
    <row r="30" ht="26.25" customHeight="1" s="42">
      <c r="B30" s="60" t="inlineStr">
        <is>
          <t>설립연도</t>
        </is>
      </c>
      <c r="C30" s="47" t="inlineStr">
        <is>
          <t>2014년 11월</t>
        </is>
      </c>
      <c r="D30" s="60" t="inlineStr">
        <is>
          <t>신보(억)</t>
        </is>
      </c>
      <c r="E30" s="47" t="inlineStr">
        <is>
          <t>7</t>
        </is>
      </c>
      <c r="F30" s="60" t="inlineStr">
        <is>
          <t>등급 5등급 이내</t>
        </is>
      </c>
      <c r="G30" s="49" t="inlineStr">
        <is>
          <t>✓</t>
        </is>
      </c>
    </row>
    <row r="31" ht="15" customHeight="1" s="42">
      <c r="B31" s="60" t="inlineStr">
        <is>
          <t>매출(전전년)</t>
        </is>
      </c>
      <c r="C31" s="47" t="inlineStr">
        <is>
          <t>20</t>
        </is>
      </c>
      <c r="D31" s="60" t="inlineStr">
        <is>
          <t>기보(억)</t>
        </is>
      </c>
      <c r="E31" s="47" t="inlineStr">
        <is>
          <t>7</t>
        </is>
      </c>
      <c r="F31" s="60" t="inlineStr">
        <is>
          <t>체납 유무</t>
        </is>
      </c>
      <c r="G31" s="47" t="n"/>
    </row>
    <row r="32" ht="15" customHeight="1" s="42">
      <c r="B32" s="60" t="inlineStr">
        <is>
          <t>매출(전년)</t>
        </is>
      </c>
      <c r="C32" s="47" t="n"/>
      <c r="D32" s="60" t="inlineStr">
        <is>
          <t>재단(억)</t>
        </is>
      </c>
      <c r="E32" s="47" t="n"/>
      <c r="F32" s="60" t="inlineStr">
        <is>
          <t>체납</t>
        </is>
      </c>
      <c r="G32" s="49" t="inlineStr">
        <is>
          <t>X</t>
        </is>
      </c>
    </row>
    <row r="33" ht="26.25" customHeight="1" s="42">
      <c r="B33" s="60" t="inlineStr">
        <is>
          <t>매출(당해)</t>
        </is>
      </c>
      <c r="C33" s="47" t="n"/>
      <c r="D33" s="60" t="inlineStr">
        <is>
          <t>소상공인(억)</t>
        </is>
      </c>
      <c r="E33" s="47" t="n"/>
      <c r="F33" s="59" t="inlineStr">
        <is>
          <t>2금융권 사용 유무</t>
        </is>
      </c>
      <c r="G33" s="47" t="n"/>
    </row>
    <row r="34" ht="15" customHeight="1" s="42">
      <c r="B34" s="59" t="n"/>
      <c r="C34" s="47" t="n"/>
      <c r="D34" s="60" t="inlineStr">
        <is>
          <t>중진공(억)</t>
        </is>
      </c>
      <c r="E34" s="47" t="n"/>
      <c r="F34" s="59" t="inlineStr">
        <is>
          <t>2금융권 사용</t>
        </is>
      </c>
      <c r="G34" s="49" t="n"/>
    </row>
    <row r="35" ht="15" customHeight="1" s="42">
      <c r="B35" s="59" t="n"/>
      <c r="C35" s="47" t="n"/>
      <c r="D35" s="60" t="inlineStr">
        <is>
          <t>은행 신용(억)</t>
        </is>
      </c>
      <c r="E35" s="47" t="n"/>
      <c r="F35" s="59" t="n"/>
      <c r="G35" s="47" t="n"/>
    </row>
    <row r="36" ht="15" customHeight="1" s="42">
      <c r="B36" s="59" t="n"/>
      <c r="C36" s="47" t="n"/>
      <c r="D36" s="60" t="inlineStr">
        <is>
          <t>은행 담보(억)</t>
        </is>
      </c>
      <c r="E36" s="47" t="n"/>
      <c r="F36" s="60" t="inlineStr">
        <is>
          <t>사업자 번호</t>
        </is>
      </c>
      <c r="G36" s="47" t="inlineStr">
        <is>
          <t>234-81-05193</t>
        </is>
      </c>
    </row>
  </sheetData>
  <mergeCells count="15">
    <mergeCell ref="B24:G24"/>
    <mergeCell ref="B16:G16"/>
    <mergeCell ref="B20:G20"/>
    <mergeCell ref="B28:G28"/>
    <mergeCell ref="C7:D7"/>
    <mergeCell ref="B5:G5"/>
    <mergeCell ref="C6:G6"/>
    <mergeCell ref="B11:G11"/>
    <mergeCell ref="F7:G7"/>
    <mergeCell ref="B17:G19"/>
    <mergeCell ref="B12:G12"/>
    <mergeCell ref="A1:H1"/>
    <mergeCell ref="C9:G9"/>
    <mergeCell ref="B13:G15"/>
    <mergeCell ref="B21:G23"/>
  </mergeCell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41" min="1" max="1"/>
    <col width="14" customWidth="1" style="41" min="2" max="2"/>
    <col width="22" customWidth="1" style="41" min="3" max="3"/>
    <col width="14" customWidth="1" style="41" min="4" max="4"/>
    <col width="22" customWidth="1" style="41" min="5" max="5"/>
    <col width="14" customWidth="1" style="41" min="6" max="6"/>
    <col width="22" customWidth="1" style="41" min="7" max="7"/>
    <col width="3" customWidth="1" style="41" min="8" max="8"/>
  </cols>
  <sheetData>
    <row r="1" ht="42" customHeight="1" s="42">
      <c r="A1" s="43" t="inlineStr">
        <is>
          <t>상담 섭외지 (섭외 완료건)</t>
        </is>
      </c>
    </row>
    <row r="3" ht="15" customHeight="1" s="42">
      <c r="B3" s="60" t="inlineStr">
        <is>
          <t>섭외사</t>
        </is>
      </c>
      <c r="C3" s="47" t="inlineStr">
        <is>
          <t>위너스</t>
        </is>
      </c>
      <c r="D3" s="60" t="inlineStr">
        <is>
          <t>섭외자</t>
        </is>
      </c>
      <c r="E3" s="47" t="inlineStr">
        <is>
          <t>이미주</t>
        </is>
      </c>
      <c r="F3" s="60" t="inlineStr">
        <is>
          <t>발송일</t>
        </is>
      </c>
      <c r="G3" s="47" t="inlineStr">
        <is>
          <t>4월 7일 (목)</t>
        </is>
      </c>
    </row>
    <row r="4" ht="3.75" customHeight="1" s="42"/>
    <row r="5" ht="24" customHeight="1" s="42">
      <c r="B5" s="68" t="inlineStr">
        <is>
          <t>1. 기본 정보</t>
        </is>
      </c>
    </row>
    <row r="6" ht="15" customHeight="1" s="42">
      <c r="B6" s="60" t="inlineStr">
        <is>
          <t>방문예정 일시</t>
        </is>
      </c>
      <c r="C6" s="69" t="inlineStr">
        <is>
          <t>4월 11일 (월) 11시 오전</t>
        </is>
      </c>
      <c r="D6" s="66" t="n"/>
      <c r="E6" s="66" t="n"/>
      <c r="F6" s="66" t="n"/>
      <c r="G6" s="66" t="n"/>
    </row>
    <row r="7" ht="15" customHeight="1" s="42">
      <c r="B7" s="60" t="inlineStr">
        <is>
          <t>업체명</t>
        </is>
      </c>
      <c r="C7" s="71" t="inlineStr">
        <is>
          <t>현대정밀(추정)</t>
        </is>
      </c>
      <c r="D7" s="66" t="n"/>
      <c r="E7" s="60" t="inlineStr">
        <is>
          <t>사업자유형</t>
        </is>
      </c>
      <c r="F7" s="70" t="inlineStr">
        <is>
          <t>개인 ( )  법인 ( )</t>
        </is>
      </c>
      <c r="G7" s="66" t="n"/>
    </row>
    <row r="8" ht="15" customHeight="1" s="42">
      <c r="B8" s="60" t="inlineStr">
        <is>
          <t>대표명</t>
        </is>
      </c>
      <c r="C8" s="47" t="inlineStr">
        <is>
          <t>김명효</t>
        </is>
      </c>
      <c r="D8" s="60" t="inlineStr">
        <is>
          <t>연락처</t>
        </is>
      </c>
      <c r="E8" s="47" t="inlineStr">
        <is>
          <t>010-9068-1747</t>
        </is>
      </c>
      <c r="F8" s="60" t="inlineStr">
        <is>
          <t>사업자번호</t>
        </is>
      </c>
      <c r="G8" s="47" t="n"/>
    </row>
    <row r="9" ht="15" customHeight="1" s="42">
      <c r="B9" s="60" t="inlineStr">
        <is>
          <t>방문주소</t>
        </is>
      </c>
      <c r="C9" s="71" t="inlineStr">
        <is>
          <t>부천시 오정구 삼작로189번길 23 (내동)</t>
        </is>
      </c>
      <c r="D9" s="66" t="n"/>
      <c r="E9" s="66" t="n"/>
      <c r="F9" s="66" t="n"/>
      <c r="G9" s="66" t="n"/>
    </row>
    <row r="10" ht="3.75" customHeight="1" s="42"/>
    <row r="11" ht="24" customHeight="1" s="42">
      <c r="B11" s="68" t="inlineStr">
        <is>
          <t>2. 통화 내용</t>
        </is>
      </c>
    </row>
    <row r="12" ht="19.5" customHeight="1" s="42">
      <c r="B12" s="72" t="inlineStr">
        <is>
          <t>2-1. 섭외자 멘트</t>
        </is>
      </c>
      <c r="C12" s="66" t="n"/>
      <c r="D12" s="66" t="n"/>
      <c r="E12" s="66" t="n"/>
      <c r="F12" s="66" t="n"/>
      <c r="G12" s="66" t="n"/>
    </row>
    <row r="13" ht="19.5" customHeight="1" s="42">
      <c r="B13" s="76" t="inlineStr">
        <is>
          <t>"고용지원금 안내"</t>
        </is>
      </c>
      <c r="C13" s="74" t="n"/>
      <c r="D13" s="74" t="n"/>
      <c r="E13" s="74" t="n"/>
      <c r="F13" s="74" t="n"/>
      <c r="G13" s="74" t="n"/>
    </row>
    <row r="14" ht="19.5" customHeight="1" s="42">
      <c r="B14" s="75" t="n"/>
    </row>
    <row r="15" ht="19.5" customHeight="1" s="42">
      <c r="B15" s="75" t="n"/>
    </row>
    <row r="16" ht="19.5" customHeight="1" s="42">
      <c r="B16" s="72" t="inlineStr">
        <is>
          <t>2-2. 대표 질문 및 요청 사항</t>
        </is>
      </c>
      <c r="C16" s="66" t="n"/>
      <c r="D16" s="66" t="n"/>
      <c r="E16" s="66" t="n"/>
      <c r="F16" s="66" t="n"/>
      <c r="G16" s="66" t="n"/>
    </row>
    <row r="17" ht="19.5" customHeight="1" s="42">
      <c r="B17" s="76" t="inlineStr">
        <is>
          <t>4대 5명, 신규채용 X, 1년 미만 입사자 1명</t>
        </is>
      </c>
      <c r="C17" s="74" t="n"/>
      <c r="D17" s="74" t="n"/>
      <c r="E17" s="74" t="n"/>
      <c r="F17" s="74" t="n"/>
      <c r="G17" s="74" t="n"/>
    </row>
    <row r="18" ht="19.5" customHeight="1" s="42">
      <c r="B18" s="75" t="n"/>
    </row>
    <row r="19" ht="19.5" customHeight="1" s="42">
      <c r="B19" s="75" t="n"/>
    </row>
    <row r="20" ht="19.5" customHeight="1" s="42">
      <c r="B20" s="72" t="inlineStr">
        <is>
          <t>2-3. 특이 사항</t>
        </is>
      </c>
      <c r="C20" s="66" t="n"/>
      <c r="D20" s="66" t="n"/>
      <c r="E20" s="66" t="n"/>
      <c r="F20" s="66" t="n"/>
      <c r="G20" s="66" t="n"/>
    </row>
    <row r="21" ht="19.5" customHeight="1" s="42">
      <c r="B21" s="73" t="inlineStr">
        <is>
          <t>★ 기존 직원 자영(자영업) 받는거 있다고 함</t>
        </is>
      </c>
      <c r="C21" s="74" t="n"/>
      <c r="D21" s="74" t="n"/>
      <c r="E21" s="74" t="n"/>
      <c r="F21" s="74" t="n"/>
      <c r="G21" s="74" t="n"/>
    </row>
    <row r="22" ht="19.5" customHeight="1" s="42">
      <c r="B22" s="75" t="n"/>
    </row>
    <row r="23" ht="19.5" customHeight="1" s="42">
      <c r="B23" s="75" t="n"/>
    </row>
    <row r="24" ht="19.5" customHeight="1" s="42">
      <c r="B24" s="72" t="inlineStr">
        <is>
          <t>2-4. 상담 분야</t>
        </is>
      </c>
      <c r="C24" s="66" t="n"/>
      <c r="D24" s="66" t="n"/>
      <c r="E24" s="66" t="n"/>
      <c r="F24" s="66" t="n"/>
      <c r="G24" s="66" t="n"/>
    </row>
    <row r="25" ht="15" customHeight="1" s="42">
      <c r="B25" s="60" t="inlineStr">
        <is>
          <t>기업자금</t>
        </is>
      </c>
      <c r="C25" s="49" t="inlineStr">
        <is>
          <t>□</t>
        </is>
      </c>
      <c r="D25" s="60" t="inlineStr">
        <is>
          <t>운전자금</t>
        </is>
      </c>
      <c r="E25" s="49" t="inlineStr">
        <is>
          <t>□</t>
        </is>
      </c>
      <c r="F25" s="60" t="inlineStr">
        <is>
          <t>시설자금</t>
        </is>
      </c>
      <c r="G25" s="49" t="inlineStr">
        <is>
          <t>□</t>
        </is>
      </c>
    </row>
    <row r="26" ht="15" customHeight="1" s="42">
      <c r="B26" s="60" t="inlineStr">
        <is>
          <t>세금절세</t>
        </is>
      </c>
      <c r="C26" s="49" t="inlineStr">
        <is>
          <t>□</t>
        </is>
      </c>
      <c r="D26" s="60" t="inlineStr">
        <is>
          <t>연구소</t>
        </is>
      </c>
      <c r="E26" s="49" t="inlineStr">
        <is>
          <t>□</t>
        </is>
      </c>
      <c r="F26" s="60" t="inlineStr">
        <is>
          <t>기타: 고용지원금</t>
        </is>
      </c>
      <c r="G26" s="47" t="n"/>
    </row>
    <row r="27" ht="3.75" customHeight="1" s="42"/>
    <row r="28" ht="24" customHeight="1" s="42">
      <c r="B28" s="68" t="inlineStr">
        <is>
          <t>3. 확인 사항</t>
        </is>
      </c>
    </row>
    <row r="29" ht="27" customHeight="1" s="42">
      <c r="B29" s="60" t="inlineStr">
        <is>
          <t>업종</t>
        </is>
      </c>
      <c r="C29" s="47" t="inlineStr">
        <is>
          <t>제조 (✓)  도소매 ( )  기타 ( )</t>
        </is>
      </c>
      <c r="D29" s="60" t="inlineStr">
        <is>
          <t>기대출</t>
        </is>
      </c>
      <c r="E29" s="47" t="n"/>
      <c r="F29" s="60" t="inlineStr">
        <is>
          <t>대표 신용</t>
        </is>
      </c>
      <c r="G29" s="47" t="n"/>
    </row>
    <row r="30" ht="26.25" customHeight="1" s="42">
      <c r="B30" s="60" t="inlineStr">
        <is>
          <t>설립연도</t>
        </is>
      </c>
      <c r="C30" s="47" t="inlineStr">
        <is>
          <t>1997년 2월</t>
        </is>
      </c>
      <c r="D30" s="60" t="inlineStr">
        <is>
          <t>신보(억)</t>
        </is>
      </c>
      <c r="E30" s="47" t="n"/>
      <c r="F30" s="60" t="inlineStr">
        <is>
          <t>등급 5등급 이내</t>
        </is>
      </c>
      <c r="G30" s="49" t="inlineStr">
        <is>
          <t>✓</t>
        </is>
      </c>
    </row>
    <row r="31" ht="15" customHeight="1" s="42">
      <c r="B31" s="60" t="inlineStr">
        <is>
          <t>매출(전전년)</t>
        </is>
      </c>
      <c r="C31" s="47" t="n"/>
      <c r="D31" s="60" t="inlineStr">
        <is>
          <t>기보(억)</t>
        </is>
      </c>
      <c r="E31" s="47" t="n"/>
      <c r="F31" s="60" t="inlineStr">
        <is>
          <t>체납 유무</t>
        </is>
      </c>
      <c r="G31" s="47" t="n"/>
    </row>
    <row r="32" ht="15" customHeight="1" s="42">
      <c r="B32" s="60" t="inlineStr">
        <is>
          <t>매출(전년)</t>
        </is>
      </c>
      <c r="C32" s="47" t="inlineStr">
        <is>
          <t>8</t>
        </is>
      </c>
      <c r="D32" s="60" t="inlineStr">
        <is>
          <t>재단(억)</t>
        </is>
      </c>
      <c r="E32" s="47" t="n"/>
      <c r="F32" s="60" t="inlineStr">
        <is>
          <t>체납</t>
        </is>
      </c>
      <c r="G32" s="49" t="inlineStr">
        <is>
          <t>X</t>
        </is>
      </c>
    </row>
    <row r="33" ht="26.25" customHeight="1" s="42">
      <c r="B33" s="60" t="inlineStr">
        <is>
          <t>매출(당해)</t>
        </is>
      </c>
      <c r="C33" s="47" t="n"/>
      <c r="D33" s="60" t="inlineStr">
        <is>
          <t>소상공인(억)</t>
        </is>
      </c>
      <c r="E33" s="47" t="n"/>
      <c r="F33" s="59" t="inlineStr">
        <is>
          <t>2금융권 사용 유무</t>
        </is>
      </c>
      <c r="G33" s="47" t="n"/>
    </row>
    <row r="34" ht="15" customHeight="1" s="42">
      <c r="B34" s="59" t="n"/>
      <c r="C34" s="47" t="n"/>
      <c r="D34" s="60" t="inlineStr">
        <is>
          <t>중진공(억)</t>
        </is>
      </c>
      <c r="E34" s="47" t="n"/>
      <c r="F34" s="59" t="inlineStr">
        <is>
          <t>2금융권 사용</t>
        </is>
      </c>
      <c r="G34" s="49" t="inlineStr">
        <is>
          <t>□</t>
        </is>
      </c>
    </row>
    <row r="35" ht="15" customHeight="1" s="42">
      <c r="B35" s="59" t="n"/>
      <c r="C35" s="47" t="n"/>
      <c r="D35" s="60" t="inlineStr">
        <is>
          <t>은행 신용(억)</t>
        </is>
      </c>
      <c r="E35" s="47" t="n"/>
      <c r="F35" s="59" t="n"/>
      <c r="G35" s="47" t="n"/>
    </row>
    <row r="36" ht="15" customHeight="1" s="42">
      <c r="B36" s="59" t="n"/>
      <c r="C36" s="47" t="n"/>
      <c r="D36" s="60" t="inlineStr">
        <is>
          <t>은행 담보(억)</t>
        </is>
      </c>
      <c r="E36" s="47" t="n"/>
      <c r="F36" s="60" t="inlineStr">
        <is>
          <t>사업자 번호</t>
        </is>
      </c>
      <c r="G36" s="47" t="n"/>
    </row>
  </sheetData>
  <mergeCells count="15">
    <mergeCell ref="B24:G24"/>
    <mergeCell ref="B16:G16"/>
    <mergeCell ref="B20:G20"/>
    <mergeCell ref="B28:G28"/>
    <mergeCell ref="C7:D7"/>
    <mergeCell ref="B5:G5"/>
    <mergeCell ref="C6:G6"/>
    <mergeCell ref="B11:G11"/>
    <mergeCell ref="F7:G7"/>
    <mergeCell ref="B17:G19"/>
    <mergeCell ref="B12:G12"/>
    <mergeCell ref="A1:H1"/>
    <mergeCell ref="C9:G9"/>
    <mergeCell ref="B13:G15"/>
    <mergeCell ref="B21:G23"/>
  </mergeCell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41" min="1" max="1"/>
    <col width="14" customWidth="1" style="41" min="2" max="2"/>
    <col width="22" customWidth="1" style="41" min="3" max="3"/>
    <col width="14" customWidth="1" style="41" min="4" max="4"/>
    <col width="22" customWidth="1" style="41" min="5" max="5"/>
    <col width="14" customWidth="1" style="41" min="6" max="6"/>
    <col width="22" customWidth="1" style="41" min="7" max="7"/>
    <col width="3" customWidth="1" style="41" min="8" max="8"/>
  </cols>
  <sheetData>
    <row r="1" ht="42" customHeight="1" s="42">
      <c r="A1" s="43" t="inlineStr">
        <is>
          <t>상담 섭외지 (섭외 완료건)</t>
        </is>
      </c>
    </row>
    <row r="3" ht="15" customHeight="1" s="42">
      <c r="B3" s="60" t="inlineStr">
        <is>
          <t>섭외사</t>
        </is>
      </c>
      <c r="C3" s="47" t="inlineStr">
        <is>
          <t>위너스</t>
        </is>
      </c>
      <c r="D3" s="60" t="inlineStr">
        <is>
          <t>섭외자</t>
        </is>
      </c>
      <c r="E3" s="47" t="inlineStr">
        <is>
          <t>김향숙</t>
        </is>
      </c>
      <c r="F3" s="60" t="inlineStr">
        <is>
          <t>발송일</t>
        </is>
      </c>
      <c r="G3" s="47" t="inlineStr">
        <is>
          <t>4월 6일 (수)</t>
        </is>
      </c>
    </row>
    <row r="4" ht="3.75" customHeight="1" s="42"/>
    <row r="5" ht="24" customHeight="1" s="42">
      <c r="B5" s="68" t="inlineStr">
        <is>
          <t>1. 기본 정보</t>
        </is>
      </c>
    </row>
    <row r="6" ht="15" customHeight="1" s="42">
      <c r="B6" s="60" t="inlineStr">
        <is>
          <t>방문예정 일시</t>
        </is>
      </c>
      <c r="C6" s="69" t="inlineStr">
        <is>
          <t>4월 11일 (월) 11시 오전</t>
        </is>
      </c>
      <c r="D6" s="66" t="n"/>
      <c r="E6" s="66" t="n"/>
      <c r="F6" s="66" t="n"/>
      <c r="G6" s="66" t="n"/>
    </row>
    <row r="7" ht="15" customHeight="1" s="42">
      <c r="B7" s="60" t="inlineStr">
        <is>
          <t>업체명</t>
        </is>
      </c>
      <c r="C7" s="71" t="inlineStr">
        <is>
          <t>경인계측시스템(주)</t>
        </is>
      </c>
      <c r="D7" s="66" t="n"/>
      <c r="E7" s="60" t="inlineStr">
        <is>
          <t>사업자유형</t>
        </is>
      </c>
      <c r="F7" s="70" t="inlineStr">
        <is>
          <t>개인 ( )  법인 (✓)</t>
        </is>
      </c>
      <c r="G7" s="66" t="n"/>
    </row>
    <row r="8" ht="15" customHeight="1" s="42">
      <c r="B8" s="60" t="inlineStr">
        <is>
          <t>대표명</t>
        </is>
      </c>
      <c r="C8" s="47" t="inlineStr">
        <is>
          <t>전옥송</t>
        </is>
      </c>
      <c r="D8" s="60" t="inlineStr">
        <is>
          <t>연락처</t>
        </is>
      </c>
      <c r="E8" s="47" t="inlineStr">
        <is>
          <t>010-3150-5490</t>
        </is>
      </c>
      <c r="F8" s="60" t="inlineStr">
        <is>
          <t>사업자번호</t>
        </is>
      </c>
      <c r="G8" s="47" t="n"/>
    </row>
    <row r="9" ht="15" customHeight="1" s="42">
      <c r="B9" s="60" t="inlineStr">
        <is>
          <t>방문주소</t>
        </is>
      </c>
      <c r="C9" s="71" t="inlineStr">
        <is>
          <t>금천구 가산디지털2로 53, 5101호 (대륭, 한라시그마밸리)</t>
        </is>
      </c>
      <c r="D9" s="66" t="n"/>
      <c r="E9" s="66" t="n"/>
      <c r="F9" s="66" t="n"/>
      <c r="G9" s="66" t="n"/>
    </row>
    <row r="10" ht="3.75" customHeight="1" s="42"/>
    <row r="11" ht="24" customHeight="1" s="42">
      <c r="B11" s="68" t="inlineStr">
        <is>
          <t>2. 통화 내용</t>
        </is>
      </c>
    </row>
    <row r="12" ht="19.5" customHeight="1" s="42">
      <c r="B12" s="72" t="inlineStr">
        <is>
          <t>2-1. 섭외자 멘트</t>
        </is>
      </c>
      <c r="C12" s="66" t="n"/>
      <c r="D12" s="66" t="n"/>
      <c r="E12" s="66" t="n"/>
      <c r="F12" s="66" t="n"/>
      <c r="G12" s="66" t="n"/>
    </row>
    <row r="13" ht="19.5" customHeight="1" s="42">
      <c r="B13" s="76" t="inlineStr">
        <is>
          <t>"고용지원금 상담안내"</t>
        </is>
      </c>
      <c r="C13" s="74" t="n"/>
      <c r="D13" s="74" t="n"/>
      <c r="E13" s="74" t="n"/>
      <c r="F13" s="74" t="n"/>
      <c r="G13" s="74" t="n"/>
    </row>
    <row r="14" ht="19.5" customHeight="1" s="42">
      <c r="B14" s="75" t="n"/>
    </row>
    <row r="15" ht="19.5" customHeight="1" s="42">
      <c r="B15" s="75" t="n"/>
    </row>
    <row r="16" ht="19.5" customHeight="1" s="42">
      <c r="B16" s="72" t="inlineStr">
        <is>
          <t>2-2. 대표 질문 및 요청 사항</t>
        </is>
      </c>
      <c r="C16" s="66" t="n"/>
      <c r="D16" s="66" t="n"/>
      <c r="E16" s="66" t="n"/>
      <c r="F16" s="66" t="n"/>
      <c r="G16" s="66" t="n"/>
    </row>
    <row r="17" ht="19.5" customHeight="1" s="42">
      <c r="B17" s="76" t="inlineStr">
        <is>
          <t>4대보험 가입자 (15)명, 신규(X), 1년 미만 입사자 1명</t>
        </is>
      </c>
      <c r="C17" s="74" t="n"/>
      <c r="D17" s="74" t="n"/>
      <c r="E17" s="74" t="n"/>
      <c r="F17" s="74" t="n"/>
      <c r="G17" s="74" t="n"/>
    </row>
    <row r="18" ht="19.5" customHeight="1" s="42">
      <c r="B18" s="75" t="n"/>
    </row>
    <row r="19" ht="19.5" customHeight="1" s="42">
      <c r="B19" s="75" t="n"/>
    </row>
    <row r="20" ht="19.5" customHeight="1" s="42">
      <c r="B20" s="72" t="inlineStr">
        <is>
          <t>2-3. 특이 사항</t>
        </is>
      </c>
      <c r="C20" s="66" t="n"/>
      <c r="D20" s="66" t="n"/>
      <c r="E20" s="66" t="n"/>
      <c r="F20" s="66" t="n"/>
      <c r="G20" s="66" t="n"/>
    </row>
    <row r="21" ht="19.5" customHeight="1" s="42">
      <c r="B21" s="73" t="inlineStr">
        <is>
          <t>★ 기존 직원 자영 받는거 있다고 함
★ 특허 3건</t>
        </is>
      </c>
      <c r="C21" s="74" t="n"/>
      <c r="D21" s="74" t="n"/>
      <c r="E21" s="74" t="n"/>
      <c r="F21" s="74" t="n"/>
      <c r="G21" s="74" t="n"/>
    </row>
    <row r="22" ht="19.5" customHeight="1" s="42">
      <c r="B22" s="75" t="n"/>
    </row>
    <row r="23" ht="19.5" customHeight="1" s="42">
      <c r="B23" s="75" t="n"/>
    </row>
    <row r="24" ht="19.5" customHeight="1" s="42">
      <c r="B24" s="72" t="inlineStr">
        <is>
          <t>2-4. 상담 분야</t>
        </is>
      </c>
      <c r="C24" s="66" t="n"/>
      <c r="D24" s="66" t="n"/>
      <c r="E24" s="66" t="n"/>
      <c r="F24" s="66" t="n"/>
      <c r="G24" s="66" t="n"/>
    </row>
    <row r="25" ht="15" customHeight="1" s="42">
      <c r="B25" s="60" t="inlineStr">
        <is>
          <t>기업자금</t>
        </is>
      </c>
      <c r="C25" s="49" t="inlineStr">
        <is>
          <t>□</t>
        </is>
      </c>
      <c r="D25" s="60" t="inlineStr">
        <is>
          <t>운전자금</t>
        </is>
      </c>
      <c r="E25" s="49" t="inlineStr">
        <is>
          <t>□</t>
        </is>
      </c>
      <c r="F25" s="60" t="inlineStr">
        <is>
          <t>시설자금</t>
        </is>
      </c>
      <c r="G25" s="49" t="inlineStr">
        <is>
          <t>□</t>
        </is>
      </c>
    </row>
    <row r="26" ht="15" customHeight="1" s="42">
      <c r="B26" s="60" t="inlineStr">
        <is>
          <t>세금절세</t>
        </is>
      </c>
      <c r="C26" s="49" t="inlineStr">
        <is>
          <t>□</t>
        </is>
      </c>
      <c r="D26" s="60" t="inlineStr">
        <is>
          <t>연구소</t>
        </is>
      </c>
      <c r="E26" s="49" t="inlineStr">
        <is>
          <t>□</t>
        </is>
      </c>
      <c r="F26" s="60" t="inlineStr">
        <is>
          <t>기타: 고용지원금</t>
        </is>
      </c>
      <c r="G26" s="47" t="n"/>
    </row>
    <row r="27" ht="3.75" customHeight="1" s="42"/>
    <row r="28" ht="24" customHeight="1" s="42">
      <c r="B28" s="68" t="inlineStr">
        <is>
          <t>3. 확인 사항</t>
        </is>
      </c>
    </row>
    <row r="29" ht="27" customHeight="1" s="42">
      <c r="B29" s="60" t="inlineStr">
        <is>
          <t>업종</t>
        </is>
      </c>
      <c r="C29" s="47" t="inlineStr">
        <is>
          <t>제조 (✓)  도소매 ( )  기타 ( )</t>
        </is>
      </c>
      <c r="D29" s="60" t="inlineStr">
        <is>
          <t>기대출</t>
        </is>
      </c>
      <c r="E29" s="47" t="n"/>
      <c r="F29" s="60" t="inlineStr">
        <is>
          <t>대표 신용</t>
        </is>
      </c>
      <c r="G29" s="47" t="n"/>
    </row>
    <row r="30" ht="26.25" customHeight="1" s="42">
      <c r="B30" s="60" t="inlineStr">
        <is>
          <t>설립연도</t>
        </is>
      </c>
      <c r="C30" s="47" t="inlineStr">
        <is>
          <t>2001년 9월</t>
        </is>
      </c>
      <c r="D30" s="60" t="inlineStr">
        <is>
          <t>신보(억)</t>
        </is>
      </c>
      <c r="E30" s="47" t="n"/>
      <c r="F30" s="60" t="inlineStr">
        <is>
          <t>등급 5등급 이내</t>
        </is>
      </c>
      <c r="G30" s="49" t="inlineStr">
        <is>
          <t>✓</t>
        </is>
      </c>
    </row>
    <row r="31" ht="15" customHeight="1" s="42">
      <c r="B31" s="60" t="inlineStr">
        <is>
          <t>매출(전전년)</t>
        </is>
      </c>
      <c r="C31" s="47" t="inlineStr">
        <is>
          <t>30</t>
        </is>
      </c>
      <c r="D31" s="60" t="inlineStr">
        <is>
          <t>기보(억)</t>
        </is>
      </c>
      <c r="E31" s="47" t="n"/>
      <c r="F31" s="60" t="inlineStr">
        <is>
          <t>체납 유무</t>
        </is>
      </c>
      <c r="G31" s="47" t="n"/>
    </row>
    <row r="32" ht="15" customHeight="1" s="42">
      <c r="B32" s="60" t="inlineStr">
        <is>
          <t>매출(전년)</t>
        </is>
      </c>
      <c r="C32" s="47" t="n"/>
      <c r="D32" s="60" t="inlineStr">
        <is>
          <t>재단(억)</t>
        </is>
      </c>
      <c r="E32" s="47" t="n"/>
      <c r="F32" s="60" t="inlineStr">
        <is>
          <t>체납</t>
        </is>
      </c>
      <c r="G32" s="49" t="inlineStr">
        <is>
          <t>X</t>
        </is>
      </c>
    </row>
    <row r="33" ht="26.25" customHeight="1" s="42">
      <c r="B33" s="60" t="inlineStr">
        <is>
          <t>매출(당해)</t>
        </is>
      </c>
      <c r="C33" s="47" t="n"/>
      <c r="D33" s="60" t="inlineStr">
        <is>
          <t>소상공인(억)</t>
        </is>
      </c>
      <c r="E33" s="47" t="n"/>
      <c r="F33" s="59" t="inlineStr">
        <is>
          <t>2금융권 사용 유무</t>
        </is>
      </c>
      <c r="G33" s="47" t="n"/>
    </row>
    <row r="34" ht="15" customHeight="1" s="42">
      <c r="B34" s="59" t="n"/>
      <c r="C34" s="47" t="n"/>
      <c r="D34" s="60" t="inlineStr">
        <is>
          <t>중진공(억)</t>
        </is>
      </c>
      <c r="E34" s="47" t="n"/>
      <c r="F34" s="59" t="inlineStr">
        <is>
          <t>2금융권 사용</t>
        </is>
      </c>
      <c r="G34" s="49" t="inlineStr">
        <is>
          <t>□</t>
        </is>
      </c>
    </row>
    <row r="35" ht="15" customHeight="1" s="42">
      <c r="B35" s="59" t="n"/>
      <c r="C35" s="47" t="n"/>
      <c r="D35" s="60" t="inlineStr">
        <is>
          <t>은행 신용(억)</t>
        </is>
      </c>
      <c r="E35" s="47" t="n"/>
      <c r="F35" s="59" t="n"/>
      <c r="G35" s="47" t="n"/>
    </row>
    <row r="36" ht="15" customHeight="1" s="42">
      <c r="B36" s="59" t="n"/>
      <c r="C36" s="47" t="n"/>
      <c r="D36" s="60" t="inlineStr">
        <is>
          <t>은행 담보(억)</t>
        </is>
      </c>
      <c r="E36" s="47" t="n"/>
      <c r="F36" s="60" t="inlineStr">
        <is>
          <t>사업자 번호</t>
        </is>
      </c>
      <c r="G36" s="47" t="n"/>
    </row>
  </sheetData>
  <mergeCells count="15">
    <mergeCell ref="B24:G24"/>
    <mergeCell ref="B16:G16"/>
    <mergeCell ref="B20:G20"/>
    <mergeCell ref="B28:G28"/>
    <mergeCell ref="C7:D7"/>
    <mergeCell ref="B5:G5"/>
    <mergeCell ref="C6:G6"/>
    <mergeCell ref="B11:G11"/>
    <mergeCell ref="F7:G7"/>
    <mergeCell ref="B17:G19"/>
    <mergeCell ref="B12:G12"/>
    <mergeCell ref="A1:H1"/>
    <mergeCell ref="C9:G9"/>
    <mergeCell ref="B13:G15"/>
    <mergeCell ref="B21:G23"/>
  </mergeCell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B2:C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4" customWidth="1" style="41" min="1" max="1"/>
    <col width="18" customWidth="1" style="41" min="2" max="2"/>
    <col width="50" customWidth="1" style="41" min="3" max="3"/>
    <col width="4" customWidth="1" style="41" min="4" max="4"/>
  </cols>
  <sheetData>
    <row r="2" ht="43.5" customHeight="1" s="42">
      <c r="B2" s="77" t="inlineStr">
        <is>
          <t>고  객  정  보</t>
        </is>
      </c>
    </row>
    <row r="4" ht="36" customHeight="1" s="42">
      <c r="B4" s="60" t="inlineStr">
        <is>
          <t>회사명</t>
        </is>
      </c>
      <c r="C4" s="78" t="inlineStr">
        <is>
          <t>주식회사 윤서컴퍼니</t>
        </is>
      </c>
    </row>
    <row r="5" ht="36" customHeight="1" s="42">
      <c r="B5" s="60" t="inlineStr">
        <is>
          <t>회사주소</t>
        </is>
      </c>
      <c r="C5" s="79" t="inlineStr">
        <is>
          <t>(05260) 서울특별시 강동구 구천면로47길 57 (암사동, 강동종합시장) 1층</t>
        </is>
      </c>
    </row>
    <row r="6" ht="36" customHeight="1" s="42">
      <c r="B6" s="60" t="inlineStr">
        <is>
          <t>업종</t>
        </is>
      </c>
      <c r="C6" s="78" t="inlineStr">
        <is>
          <t>제조업</t>
        </is>
      </c>
    </row>
    <row r="7" ht="36" customHeight="1" s="42">
      <c r="B7" s="60" t="inlineStr">
        <is>
          <t>직책</t>
        </is>
      </c>
      <c r="C7" s="78" t="inlineStr">
        <is>
          <t>임원</t>
        </is>
      </c>
    </row>
    <row r="8" ht="36" customHeight="1" s="42">
      <c r="B8" s="60" t="inlineStr">
        <is>
          <t>연락처</t>
        </is>
      </c>
      <c r="C8" s="79" t="inlineStr">
        <is>
          <t>010-2500-3524</t>
        </is>
      </c>
    </row>
    <row r="9" ht="36" customHeight="1" s="42">
      <c r="B9" s="60" t="inlineStr">
        <is>
          <t>직원수</t>
        </is>
      </c>
      <c r="C9" s="79" t="inlineStr">
        <is>
          <t>11~20명</t>
        </is>
      </c>
    </row>
    <row r="10" ht="36" customHeight="1" s="42">
      <c r="B10" s="60" t="inlineStr">
        <is>
          <t>채용예정인원</t>
        </is>
      </c>
      <c r="C10" s="79" t="inlineStr">
        <is>
          <t>3명</t>
        </is>
      </c>
    </row>
    <row r="11" ht="36" customHeight="1" s="42">
      <c r="B11" s="60" t="inlineStr">
        <is>
          <t>추가관심분야</t>
        </is>
      </c>
      <c r="C11" s="78" t="inlineStr">
        <is>
          <t>정책자금, 운전자금, 시설자금</t>
        </is>
      </c>
    </row>
    <row r="12" ht="36" customHeight="1" s="42">
      <c r="B12" s="60" t="inlineStr">
        <is>
          <t>상담희망일시</t>
        </is>
      </c>
      <c r="C12" s="78" t="n"/>
    </row>
    <row r="13" ht="36" customHeight="1" s="42">
      <c r="B13" s="60" t="inlineStr">
        <is>
          <t>비고</t>
        </is>
      </c>
      <c r="C13" s="78" t="n"/>
    </row>
    <row r="15" ht="27.75" customHeight="1" s="42">
      <c r="B15" s="80" t="inlineStr">
        <is>
          <t>전화 통화 시 일정 조정 가능</t>
        </is>
      </c>
    </row>
    <row r="16" ht="18.75" customHeight="1" s="42">
      <c r="B16" s="81" t="inlineStr">
        <is>
          <t>2023년 9월 20일</t>
        </is>
      </c>
    </row>
    <row r="17" ht="18.75" customHeight="1" s="42">
      <c r="B17" s="82" t="inlineStr">
        <is>
          <t>✿ 좋은 성과 있으시길 응원합니다 ✿</t>
        </is>
      </c>
    </row>
  </sheetData>
  <mergeCells count="4">
    <mergeCell ref="B2:C2"/>
    <mergeCell ref="B16:C16"/>
    <mergeCell ref="B15:C15"/>
    <mergeCell ref="B17:C17"/>
  </mergeCell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4" customWidth="1" style="41" min="1" max="1"/>
    <col width="16" customWidth="1" style="41" min="2" max="2"/>
    <col width="22" customWidth="1" style="41" min="3" max="3"/>
    <col width="50" customWidth="1" style="41" min="4" max="4"/>
    <col width="4" customWidth="1" style="41" min="5" max="5"/>
  </cols>
  <sheetData>
    <row r="1" ht="39.75" customHeight="1" s="42">
      <c r="A1" s="43" t="inlineStr">
        <is>
          <t>운영 사이클 — 월/주/일 루틴</t>
        </is>
      </c>
    </row>
    <row r="3" ht="30" customHeight="1" s="42">
      <c r="B3" s="53" t="inlineStr">
        <is>
          <t>주기</t>
        </is>
      </c>
      <c r="C3" s="53" t="inlineStr">
        <is>
          <t>타이밍</t>
        </is>
      </c>
      <c r="D3" s="53" t="inlineStr">
        <is>
          <t>할 일</t>
        </is>
      </c>
    </row>
    <row r="4" ht="31.5" customHeight="1" s="42">
      <c r="B4" s="60" t="inlineStr">
        <is>
          <t>월간</t>
        </is>
      </c>
      <c r="C4" s="56" t="inlineStr">
        <is>
          <t>매월 마지막 이틀</t>
        </is>
      </c>
      <c r="D4" s="47" t="inlineStr">
        <is>
          <t>영업 OFF. 생명수(② 시트) 작성 → 3장 출력. 차/플래너/주머니 비치.</t>
        </is>
      </c>
    </row>
    <row r="5" ht="31.5" customHeight="1" s="42">
      <c r="B5" s="60" t="inlineStr">
        <is>
          <t>월간</t>
        </is>
      </c>
      <c r="C5" s="56" t="inlineStr">
        <is>
          <t>매월 마지막 이틀</t>
        </is>
      </c>
      <c r="D5" s="47" t="inlineStr">
        <is>
          <t>수금·민원 정리, 1주년 도래 고객에 소개 요청 ("1년 뒤 찾아오는 설계사 있나요?")</t>
        </is>
      </c>
    </row>
    <row r="6" ht="31.5" customHeight="1" s="42">
      <c r="B6" s="60" t="inlineStr">
        <is>
          <t>월간</t>
        </is>
      </c>
      <c r="C6" s="56" t="inlineStr">
        <is>
          <t>명절(2회/년)</t>
        </is>
      </c>
      <c r="D6" s="47" t="inlineStr">
        <is>
          <t>개별 카톡 인사. 단톡·일괄 ❌. 이름+개인 내용 들어간 메시지.</t>
        </is>
      </c>
    </row>
    <row r="7" ht="31.5" customHeight="1" s="42">
      <c r="B7" s="60" t="inlineStr">
        <is>
          <t>주간</t>
        </is>
      </c>
      <c r="C7" s="56" t="inlineStr">
        <is>
          <t>매주 일요일 오후</t>
        </is>
      </c>
      <c r="D7" s="47" t="inlineStr">
        <is>
          <t>내추럴 마켓 리스트(① 시트) 업데이트. A/B/C 등급 재정렬, 새 연락처 추가.</t>
        </is>
      </c>
    </row>
    <row r="8" ht="31.5" customHeight="1" s="42">
      <c r="B8" s="60" t="inlineStr">
        <is>
          <t>주간</t>
        </is>
      </c>
      <c r="C8" s="56" t="inlineStr">
        <is>
          <t>매주 월요일 11~13시</t>
        </is>
      </c>
      <c r="D8" s="47" t="inlineStr">
        <is>
          <t>크레이지 T 타임. 2주치 스케줄 확정. 못 잡으면 외근 ❌.</t>
        </is>
      </c>
    </row>
    <row r="9" ht="31.5" customHeight="1" s="42">
      <c r="B9" s="60" t="inlineStr">
        <is>
          <t>일간</t>
        </is>
      </c>
      <c r="C9" s="56" t="inlineStr">
        <is>
          <t>오전 첫 1시간</t>
        </is>
      </c>
      <c r="D9" s="47" t="inlineStr">
        <is>
          <t>라이폰/리스트 확인 → 오늘 누구 만날지, 누구한테 연락할지 정리.</t>
        </is>
      </c>
    </row>
    <row r="10" ht="31.5" customHeight="1" s="42">
      <c r="B10" s="60" t="inlineStr">
        <is>
          <t>일간</t>
        </is>
      </c>
      <c r="C10" s="56" t="inlineStr">
        <is>
          <t>이동·점심·휴식 시간</t>
        </is>
      </c>
      <c r="D10" s="49" t="inlineStr">
        <is>
          <t>TA(전화 약속) 끊임없이. 1통 1분 이내. 다음달·다다음달 사람 미리 깔기.</t>
        </is>
      </c>
    </row>
    <row r="11" ht="31.5" customHeight="1" s="42">
      <c r="B11" s="60" t="inlineStr">
        <is>
          <t>일간</t>
        </is>
      </c>
      <c r="C11" s="56" t="inlineStr">
        <is>
          <t>미팅 동선 잡힐 때</t>
        </is>
      </c>
      <c r="D11" s="47" t="inlineStr">
        <is>
          <t>휴대폰 검색창에 지역명 입력 → 거주지·근무지 일치자에게 일괄 "얼굴 보자" 메시지.</t>
        </is>
      </c>
    </row>
    <row r="12" ht="31.5" customHeight="1" s="42">
      <c r="B12" s="60" t="inlineStr">
        <is>
          <t>일간</t>
        </is>
      </c>
      <c r="C12" s="56" t="inlineStr">
        <is>
          <t>퇴근 전</t>
        </is>
      </c>
      <c r="D12" s="47" t="inlineStr">
        <is>
          <t>③ 하루3명 활동표 기록. 3명 미달이면 다음날 보충 계획.</t>
        </is>
      </c>
    </row>
    <row r="15" ht="24" customHeight="1" s="42">
      <c r="B15" s="45" t="inlineStr">
        <is>
          <t>🏁 고객 수 마일스톤</t>
        </is>
      </c>
    </row>
    <row r="16" ht="27.75" customHeight="1" s="42">
      <c r="B16" s="83" t="inlineStr">
        <is>
          <t>80명</t>
        </is>
      </c>
      <c r="C16" s="70" t="inlineStr">
        <is>
          <t>임계점 돌파 — "이 친구 잘 될 것 같다"</t>
        </is>
      </c>
      <c r="D16" s="66" t="n"/>
    </row>
    <row r="17" ht="27.75" customHeight="1" s="42">
      <c r="B17" s="83" t="inlineStr">
        <is>
          <t>200명</t>
        </is>
      </c>
      <c r="C17" s="70" t="inlineStr">
        <is>
          <t>회사 내에서 유명해짐</t>
        </is>
      </c>
      <c r="D17" s="66" t="n"/>
    </row>
    <row r="18" ht="27.75" customHeight="1" s="42">
      <c r="B18" s="83" t="inlineStr">
        <is>
          <t>250명</t>
        </is>
      </c>
      <c r="C18" s="70" t="inlineStr">
        <is>
          <t>절반만 소개받아도 연 125명 → 주 2명 상담 자동 발생</t>
        </is>
      </c>
      <c r="D18" s="66" t="n"/>
    </row>
  </sheetData>
  <mergeCells count="5">
    <mergeCell ref="C16:D16"/>
    <mergeCell ref="A1:E1"/>
    <mergeCell ref="C18:D18"/>
    <mergeCell ref="B15:D15"/>
    <mergeCell ref="C17:D17"/>
  </mergeCells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2026-05-15T08:58:47Z</dcterms:created>
  <dcterms:modified xmlns:dcterms="http://purl.org/dc/terms/" xmlns:xsi="http://www.w3.org/2001/XMLSchema-instance" xsi:type="dcterms:W3CDTF">2026-05-15T09:06:54Z</dcterms:modified>
  <cp:lastModifiedBy>모스 투</cp:lastModifiedBy>
  <cp:revision>0</cp:revision>
</cp:coreProperties>
</file>